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5e03e98ee56a626/Aplicativos/CrewForce_Abacus/Uploads/"/>
    </mc:Choice>
  </mc:AlternateContent>
  <xr:revisionPtr revIDLastSave="1" documentId="11_DDA03A2FFE483048B030AF3D4170C086B4A61077" xr6:coauthVersionLast="47" xr6:coauthVersionMax="47" xr10:uidLastSave="{0D146672-02D5-483E-8836-01B25D187F48}"/>
  <bookViews>
    <workbookView xWindow="-120" yWindow="-120" windowWidth="29040" windowHeight="15720" tabRatio="500" activeTab="1" xr2:uid="{00000000-000D-0000-FFFF-FFFF00000000}"/>
  </bookViews>
  <sheets>
    <sheet name="Pay_Item_Catalog" sheetId="1" r:id="rId1"/>
    <sheet name="Rate_Table" sheetId="2" r:id="rId2"/>
    <sheet name="Workers" sheetId="3" r:id="rId3"/>
    <sheet name="Time_Entry" sheetId="4" r:id="rId4"/>
    <sheet name="Production_Entry" sheetId="5" r:id="rId5"/>
    <sheet name="Payroll_Calculation" sheetId="6" r:id="rId6"/>
    <sheet name="Dashboard" sheetId="7" r:id="rId7"/>
  </sheets>
  <calcPr calcId="181029" iterate="1" iterateCount="1000" iterateDelta="0.01"/>
</workbook>
</file>

<file path=xl/calcChain.xml><?xml version="1.0" encoding="utf-8"?>
<calcChain xmlns="http://schemas.openxmlformats.org/spreadsheetml/2006/main">
  <c r="B27" i="7" l="1"/>
  <c r="C26" i="7"/>
  <c r="B26" i="7"/>
  <c r="D26" i="7" s="1"/>
  <c r="C25" i="7"/>
  <c r="B25" i="7"/>
  <c r="D25" i="7" s="1"/>
  <c r="C24" i="7"/>
  <c r="B24" i="7"/>
  <c r="D24" i="7" s="1"/>
  <c r="C23" i="7"/>
  <c r="B23" i="7"/>
  <c r="D23" i="7" s="1"/>
  <c r="C22" i="7"/>
  <c r="B22" i="7"/>
  <c r="D22" i="7" s="1"/>
  <c r="C21" i="7"/>
  <c r="B21" i="7"/>
  <c r="D21" i="7" s="1"/>
  <c r="C20" i="7"/>
  <c r="B20" i="7"/>
  <c r="D20" i="7" s="1"/>
  <c r="C19" i="7"/>
  <c r="B19" i="7"/>
  <c r="D19" i="7" s="1"/>
  <c r="C18" i="7"/>
  <c r="B18" i="7"/>
  <c r="D18" i="7" s="1"/>
  <c r="C17" i="7"/>
  <c r="B17" i="7"/>
  <c r="D17" i="7" s="1"/>
  <c r="G9" i="6"/>
  <c r="E9" i="6"/>
  <c r="H9" i="6" s="1"/>
  <c r="D9" i="6"/>
  <c r="J9" i="6" s="1"/>
  <c r="G8" i="6"/>
  <c r="F8" i="6"/>
  <c r="I8" i="6" s="1"/>
  <c r="E8" i="6"/>
  <c r="H8" i="6" s="1"/>
  <c r="D8" i="6"/>
  <c r="J8" i="6" s="1"/>
  <c r="G7" i="6"/>
  <c r="G6" i="6"/>
  <c r="D6" i="6"/>
  <c r="J6" i="6" s="1"/>
  <c r="G5" i="6"/>
  <c r="G4" i="6"/>
  <c r="G11" i="6" s="1"/>
  <c r="B6" i="7" s="1"/>
  <c r="D4" i="6"/>
  <c r="J4" i="6" s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D7" i="6" s="1"/>
  <c r="H3" i="4"/>
  <c r="D5" i="6" s="1"/>
  <c r="H2" i="4"/>
  <c r="K8" i="6" l="1"/>
  <c r="J7" i="6"/>
  <c r="F7" i="6"/>
  <c r="I7" i="6" s="1"/>
  <c r="K7" i="6" s="1"/>
  <c r="E7" i="6"/>
  <c r="H7" i="6" s="1"/>
  <c r="D27" i="7"/>
  <c r="F5" i="6"/>
  <c r="I5" i="6" s="1"/>
  <c r="K5" i="6" s="1"/>
  <c r="E5" i="6"/>
  <c r="H5" i="6" s="1"/>
  <c r="J5" i="6"/>
  <c r="J11" i="6"/>
  <c r="D11" i="6"/>
  <c r="B5" i="7" s="1"/>
  <c r="E4" i="6"/>
  <c r="F4" i="6"/>
  <c r="E6" i="6"/>
  <c r="H6" i="6" s="1"/>
  <c r="F6" i="6"/>
  <c r="I6" i="6" s="1"/>
  <c r="K6" i="6" s="1"/>
  <c r="F9" i="6"/>
  <c r="I9" i="6" s="1"/>
  <c r="K9" i="6" s="1"/>
  <c r="I4" i="6" l="1"/>
  <c r="F11" i="6"/>
  <c r="H4" i="6"/>
  <c r="H11" i="6" s="1"/>
  <c r="E11" i="6"/>
  <c r="I11" i="6" l="1"/>
  <c r="K4" i="6"/>
  <c r="A13" i="7" l="1"/>
  <c r="D12" i="7"/>
  <c r="C12" i="7"/>
  <c r="K11" i="6"/>
  <c r="B4" i="7" s="1"/>
  <c r="B7" i="7" s="1"/>
  <c r="B12" i="7"/>
  <c r="D11" i="7"/>
  <c r="A12" i="7"/>
  <c r="C11" i="7"/>
  <c r="D13" i="7"/>
  <c r="B11" i="7"/>
  <c r="C13" i="7"/>
  <c r="A11" i="7"/>
  <c r="B13" i="7"/>
  <c r="E11" i="7" l="1"/>
  <c r="E12" i="7"/>
  <c r="E13" i="7"/>
</calcChain>
</file>

<file path=xl/sharedStrings.xml><?xml version="1.0" encoding="utf-8"?>
<sst xmlns="http://schemas.openxmlformats.org/spreadsheetml/2006/main" count="649" uniqueCount="217">
  <si>
    <t>Item Code</t>
  </si>
  <si>
    <t>Description</t>
  </si>
  <si>
    <t>Unit</t>
  </si>
  <si>
    <t>Category</t>
  </si>
  <si>
    <t>Active</t>
  </si>
  <si>
    <t>HDD_FT</t>
  </si>
  <si>
    <t>Horizontal Directional Drilling</t>
  </si>
  <si>
    <t>FT</t>
  </si>
  <si>
    <t>Installation</t>
  </si>
  <si>
    <t>Yes</t>
  </si>
  <si>
    <t>TRENCH_FT</t>
  </si>
  <si>
    <t>Open Trench Installation</t>
  </si>
  <si>
    <t>HANDHOLE_EA</t>
  </si>
  <si>
    <t>Handhole Installation</t>
  </si>
  <si>
    <t>EA</t>
  </si>
  <si>
    <t>Structure</t>
  </si>
  <si>
    <t>VAULT_EA</t>
  </si>
  <si>
    <t>Vault Installation</t>
  </si>
  <si>
    <t>POTHOLE_EA</t>
  </si>
  <si>
    <t>Potholing</t>
  </si>
  <si>
    <t>Investigation</t>
  </si>
  <si>
    <t>RESTORATION_SQFT</t>
  </si>
  <si>
    <t>Area Restoration</t>
  </si>
  <si>
    <t>SQFT</t>
  </si>
  <si>
    <t>Restoration</t>
  </si>
  <si>
    <t>BORE_FT</t>
  </si>
  <si>
    <t>Boring (ft)</t>
  </si>
  <si>
    <t>CABLE_PULL_FT</t>
  </si>
  <si>
    <t>Cable Pulling</t>
  </si>
  <si>
    <t>CONDUIT_FT</t>
  </si>
  <si>
    <t>Conduit Installation</t>
  </si>
  <si>
    <t>REWORK_FT</t>
  </si>
  <si>
    <t>Rework (discounted)</t>
  </si>
  <si>
    <t>Correction</t>
  </si>
  <si>
    <t>Rate ID</t>
  </si>
  <si>
    <t>Pay Item Code</t>
  </si>
  <si>
    <t>Rate Amount</t>
  </si>
  <si>
    <t>Rate Unit</t>
  </si>
  <si>
    <t>Effective From</t>
  </si>
  <si>
    <t>Effective To</t>
  </si>
  <si>
    <t>Context/Notes</t>
  </si>
  <si>
    <t>R001</t>
  </si>
  <si>
    <t>per FT</t>
  </si>
  <si>
    <t>2026-01-01</t>
  </si>
  <si>
    <t>2026-12-31</t>
  </si>
  <si>
    <t>Urban HDD standard</t>
  </si>
  <si>
    <t>R002</t>
  </si>
  <si>
    <t>Open trench standard</t>
  </si>
  <si>
    <t>R003</t>
  </si>
  <si>
    <t>per EA</t>
  </si>
  <si>
    <t>Standard handhole</t>
  </si>
  <si>
    <t>R004</t>
  </si>
  <si>
    <t>Standard vault</t>
  </si>
  <si>
    <t>R005</t>
  </si>
  <si>
    <t>Standard pothole</t>
  </si>
  <si>
    <t>R006</t>
  </si>
  <si>
    <t>per SQFT</t>
  </si>
  <si>
    <t>Area restoration</t>
  </si>
  <si>
    <t>R007</t>
  </si>
  <si>
    <t>Difficult soil</t>
  </si>
  <si>
    <t>R008</t>
  </si>
  <si>
    <t>Standard cable pull</t>
  </si>
  <si>
    <t>R009</t>
  </si>
  <si>
    <t>Standard conduit</t>
  </si>
  <si>
    <t>R010</t>
  </si>
  <si>
    <t>Rework penalty rate</t>
  </si>
  <si>
    <t>Worker ID</t>
  </si>
  <si>
    <t>Name</t>
  </si>
  <si>
    <t>Employee Type</t>
  </si>
  <si>
    <t>Base Hourly Rate</t>
  </si>
  <si>
    <t>OT Multiplier</t>
  </si>
  <si>
    <t>Min Hourly Guarantee</t>
  </si>
  <si>
    <t>Piece Rate Enabled</t>
  </si>
  <si>
    <t>W001</t>
  </si>
  <si>
    <t>John Silva</t>
  </si>
  <si>
    <t>W2</t>
  </si>
  <si>
    <t>W002</t>
  </si>
  <si>
    <t>Maria Santos</t>
  </si>
  <si>
    <t>W003</t>
  </si>
  <si>
    <t>Carlos Mendes</t>
  </si>
  <si>
    <t>No</t>
  </si>
  <si>
    <t>W004</t>
  </si>
  <si>
    <t>Pedro Costa</t>
  </si>
  <si>
    <t>W005</t>
  </si>
  <si>
    <t>Ana Lima</t>
  </si>
  <si>
    <t>W006</t>
  </si>
  <si>
    <t>Jose Oliveira</t>
  </si>
  <si>
    <t>Entry ID</t>
  </si>
  <si>
    <t>Date</t>
  </si>
  <si>
    <t>Worker Name</t>
  </si>
  <si>
    <t>Clock In</t>
  </si>
  <si>
    <t>Clock Out</t>
  </si>
  <si>
    <t>Break (min)</t>
  </si>
  <si>
    <t>Total Hours</t>
  </si>
  <si>
    <t>Crew</t>
  </si>
  <si>
    <t>Notes</t>
  </si>
  <si>
    <t>TE001</t>
  </si>
  <si>
    <t>2026-01-27</t>
  </si>
  <si>
    <t>07:00</t>
  </si>
  <si>
    <t>16:30</t>
  </si>
  <si>
    <t>Crew A</t>
  </si>
  <si>
    <t>Normal shift</t>
  </si>
  <si>
    <t>TE002</t>
  </si>
  <si>
    <t>TE003</t>
  </si>
  <si>
    <t>Crew B</t>
  </si>
  <si>
    <t>TE004</t>
  </si>
  <si>
    <t>2026-01-28</t>
  </si>
  <si>
    <t>17:00</t>
  </si>
  <si>
    <t>Extended day</t>
  </si>
  <si>
    <t>TE005</t>
  </si>
  <si>
    <t>TE006</t>
  </si>
  <si>
    <t>TE007</t>
  </si>
  <si>
    <t>2026-01-29</t>
  </si>
  <si>
    <t>18:00</t>
  </si>
  <si>
    <t>Long day</t>
  </si>
  <si>
    <t>TE008</t>
  </si>
  <si>
    <t>TE009</t>
  </si>
  <si>
    <t>TE010</t>
  </si>
  <si>
    <t>2026-01-30</t>
  </si>
  <si>
    <t>TE011</t>
  </si>
  <si>
    <t>TE012</t>
  </si>
  <si>
    <t>TE013</t>
  </si>
  <si>
    <t>2026-01-31</t>
  </si>
  <si>
    <t>17:30</t>
  </si>
  <si>
    <t>Friday finish</t>
  </si>
  <si>
    <t>TE014</t>
  </si>
  <si>
    <t>TE015</t>
  </si>
  <si>
    <t>Prod ID</t>
  </si>
  <si>
    <t>Quantity</t>
  </si>
  <si>
    <t>Status</t>
  </si>
  <si>
    <t>P001</t>
  </si>
  <si>
    <t>Approved</t>
  </si>
  <si>
    <t>Good progress</t>
  </si>
  <si>
    <t>P002</t>
  </si>
  <si>
    <t>P003</t>
  </si>
  <si>
    <t>Standard trench</t>
  </si>
  <si>
    <t>P004</t>
  </si>
  <si>
    <t>2 handholes</t>
  </si>
  <si>
    <t>P005</t>
  </si>
  <si>
    <t>Excellent day</t>
  </si>
  <si>
    <t>P006</t>
  </si>
  <si>
    <t>P007</t>
  </si>
  <si>
    <t>Good pace</t>
  </si>
  <si>
    <t>P008</t>
  </si>
  <si>
    <t>1 vault</t>
  </si>
  <si>
    <t>P009</t>
  </si>
  <si>
    <t>Long day productive</t>
  </si>
  <si>
    <t>P010</t>
  </si>
  <si>
    <t>P011</t>
  </si>
  <si>
    <t>Extended hours</t>
  </si>
  <si>
    <t>P012</t>
  </si>
  <si>
    <t>3 handholes</t>
  </si>
  <si>
    <t>P013</t>
  </si>
  <si>
    <t>Steady work</t>
  </si>
  <si>
    <t>P014</t>
  </si>
  <si>
    <t>P015</t>
  </si>
  <si>
    <t>Normal day</t>
  </si>
  <si>
    <t>P016</t>
  </si>
  <si>
    <t>Restoration work</t>
  </si>
  <si>
    <t>P017</t>
  </si>
  <si>
    <t>Week closing strong</t>
  </si>
  <si>
    <t>P018</t>
  </si>
  <si>
    <t>P019</t>
  </si>
  <si>
    <t>Good finish</t>
  </si>
  <si>
    <t>P020</t>
  </si>
  <si>
    <t>Cable pulling</t>
  </si>
  <si>
    <t>P021</t>
  </si>
  <si>
    <t>P022</t>
  </si>
  <si>
    <t>Conduit work</t>
  </si>
  <si>
    <t>P023</t>
  </si>
  <si>
    <t>P024</t>
  </si>
  <si>
    <t>Additional handhole</t>
  </si>
  <si>
    <t>P025</t>
  </si>
  <si>
    <t>Final vault</t>
  </si>
  <si>
    <t>Period</t>
  </si>
  <si>
    <t>Regular Hours</t>
  </si>
  <si>
    <t>OT Hours</t>
  </si>
  <si>
    <t>Piece Earnings</t>
  </si>
  <si>
    <t>Hourly Earnings</t>
  </si>
  <si>
    <t>OT Premium</t>
  </si>
  <si>
    <t>Min Guarantee</t>
  </si>
  <si>
    <t>Total Pay</t>
  </si>
  <si>
    <t>Payment Method</t>
  </si>
  <si>
    <t>Pay Period: Jan 27 - Jan 31, 2026</t>
  </si>
  <si>
    <t>Week 5</t>
  </si>
  <si>
    <t>Piece Rate + OT</t>
  </si>
  <si>
    <t>TOTAL</t>
  </si>
  <si>
    <t>Payroll Dashboard - Underground Construction</t>
  </si>
  <si>
    <t>Pay Period: January 27-31, 2026</t>
  </si>
  <si>
    <t>Total Payroll</t>
  </si>
  <si>
    <t>Total Hours Worked</t>
  </si>
  <si>
    <t>Total Piece Earnings</t>
  </si>
  <si>
    <t>Average Rate/Hour</t>
  </si>
  <si>
    <t>Top Performers</t>
  </si>
  <si>
    <t>Hours</t>
  </si>
  <si>
    <t>Avg Rate/Hr</t>
  </si>
  <si>
    <t>Production Summary</t>
  </si>
  <si>
    <t>Pay Item</t>
  </si>
  <si>
    <t>Total Quantity</t>
  </si>
  <si>
    <t>Total Value</t>
  </si>
  <si>
    <t>Foreman (Encarregado de Equipe):</t>
  </si>
  <si>
    <t>HDD Driller (Operador de Perfuratriz):</t>
  </si>
  <si>
    <t>HDD Locator / Tracker (Localizador):</t>
  </si>
  <si>
    <t>Mud Mixer / Laborer (Auxiliar de Mistura):</t>
  </si>
  <si>
    <t>Operator (Operador de Escavadeira/Mini-carregadeira):</t>
  </si>
  <si>
    <t>Restoration Laborer (Auxiliar de Restauração):</t>
  </si>
  <si>
    <t>Equipe de Perfuração Direcional (HDD Crew)</t>
  </si>
  <si>
    <t>$200</t>
  </si>
  <si>
    <t>$170</t>
  </si>
  <si>
    <t>$160</t>
  </si>
  <si>
    <t>$250</t>
  </si>
  <si>
    <t>Manager</t>
  </si>
  <si>
    <t>Diária</t>
  </si>
  <si>
    <t>50/50</t>
  </si>
  <si>
    <r>
      <t>REWORK_FT: você quer que seja desconto do pool (penalidade) ou apenas “paga menos” (entra positivo com rate menor)?</t>
    </r>
    <r>
      <rPr>
        <sz val="12"/>
        <color theme="1"/>
        <rFont val="Georgia"/>
        <family val="1"/>
      </rPr>
      <t>pool</t>
    </r>
    <r>
      <rPr>
        <sz val="12"/>
        <color theme="1"/>
        <rFont val="Georgia"/>
        <family val="1"/>
      </rPr>
      <t> (penalidade) ou apenas “paga menos” (entra positivo com rate menor)?</t>
    </r>
  </si>
  <si>
    <r>
      <t>Em caso de </t>
    </r>
    <r>
      <rPr>
        <sz val="12"/>
        <color theme="1"/>
        <rFont val="Georgia"/>
        <family val="1"/>
      </rPr>
      <t>meia diária (0.5)</t>
    </r>
    <r>
      <rPr>
        <sz val="12"/>
        <color theme="1"/>
        <rFont val="Georgia"/>
        <family val="1"/>
      </rPr>
      <t>: é sempre exatamente metade do mínimo (50%)?</t>
    </r>
  </si>
  <si>
    <t>sempre a metade - 50%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</si>
</sst>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yyyy\-mm\-dd"/>
    <numFmt numFmtId="166" formatCode="#,##0.0"/>
  </numFmts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Aptos Narrow"/>
    </font>
    <font>
      <sz val="11"/>
      <name val="Calibri"/>
      <scheme val="minor"/>
    </font>
    <font>
      <b/>
      <sz val="11"/>
      <color rgb="FFFFFFFF"/>
      <name val="Aptos Narrow"/>
    </font>
    <font>
      <b/>
      <sz val="14"/>
      <name val="Aptos Narrow"/>
    </font>
    <font>
      <b/>
      <sz val="12"/>
      <name val="Aptos Narrow"/>
    </font>
    <font>
      <b/>
      <sz val="16"/>
      <name val="Aptos Narrow"/>
    </font>
    <font>
      <sz val="12"/>
      <name val="Aptos Narrow"/>
    </font>
    <font>
      <b/>
      <sz val="11"/>
      <color theme="1"/>
      <name val="Calibri"/>
      <family val="2"/>
      <scheme val="minor"/>
    </font>
    <font>
      <b/>
      <sz val="18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Georgia"/>
      <family val="1"/>
    </font>
    <font>
      <sz val="12"/>
      <color theme="1"/>
      <name val="Georgia"/>
      <family val="1"/>
    </font>
  </fonts>
  <fills count="10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FFF9C4"/>
      </patternFill>
    </fill>
    <fill>
      <patternFill patternType="solid">
        <fgColor rgb="FF90EE90"/>
      </patternFill>
    </fill>
    <fill>
      <patternFill patternType="solid">
        <fgColor rgb="FF1F4E78"/>
      </patternFill>
    </fill>
    <fill>
      <patternFill patternType="solid">
        <fgColor rgb="FFD3D3D3"/>
      </patternFill>
    </fill>
    <fill>
      <patternFill patternType="solid">
        <fgColor rgb="FFD5F4E6"/>
      </patternFill>
    </fill>
    <fill>
      <patternFill patternType="solid">
        <fgColor rgb="FFD6EAF8"/>
      </patternFill>
    </fill>
    <fill>
      <patternFill patternType="solid">
        <fgColor rgb="FFF0F0F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1">
      <alignment vertical="top"/>
    </xf>
  </cellStyleXfs>
  <cellXfs count="55">
    <xf numFmtId="0" fontId="0" fillId="0" borderId="1" xfId="0">
      <alignment vertical="top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>
      <alignment vertical="top"/>
    </xf>
    <xf numFmtId="49" fontId="3" fillId="0" borderId="2" xfId="0" applyNumberFormat="1" applyFont="1" applyBorder="1">
      <alignment vertical="top"/>
    </xf>
    <xf numFmtId="164" fontId="3" fillId="0" borderId="2" xfId="0" applyNumberFormat="1" applyFont="1" applyBorder="1">
      <alignment vertical="top"/>
    </xf>
    <xf numFmtId="165" fontId="3" fillId="0" borderId="2" xfId="0" applyNumberFormat="1" applyFont="1" applyBorder="1">
      <alignment vertical="top"/>
    </xf>
    <xf numFmtId="166" fontId="3" fillId="0" borderId="2" xfId="0" applyNumberFormat="1" applyFont="1" applyBorder="1">
      <alignment vertical="top"/>
    </xf>
    <xf numFmtId="20" fontId="3" fillId="0" borderId="2" xfId="0" applyNumberFormat="1" applyFont="1" applyBorder="1">
      <alignment vertical="top"/>
    </xf>
    <xf numFmtId="166" fontId="3" fillId="3" borderId="2" xfId="0" applyNumberFormat="1" applyFont="1" applyFill="1" applyBorder="1">
      <alignment vertical="top"/>
    </xf>
    <xf numFmtId="3" fontId="3" fillId="0" borderId="2" xfId="0" applyNumberFormat="1" applyFont="1" applyBorder="1">
      <alignment vertical="top"/>
    </xf>
    <xf numFmtId="49" fontId="3" fillId="4" borderId="2" xfId="0" applyNumberFormat="1" applyFont="1" applyFill="1" applyBorder="1">
      <alignment vertical="top"/>
    </xf>
    <xf numFmtId="0" fontId="4" fillId="5" borderId="2" xfId="0" applyFont="1" applyFill="1" applyBorder="1" applyAlignment="1">
      <alignment horizontal="center" vertical="center"/>
    </xf>
    <xf numFmtId="164" fontId="3" fillId="7" borderId="2" xfId="0" applyNumberFormat="1" applyFont="1" applyFill="1" applyBorder="1">
      <alignment vertical="top"/>
    </xf>
    <xf numFmtId="0" fontId="2" fillId="0" borderId="2" xfId="0" applyFont="1" applyBorder="1">
      <alignment vertical="top"/>
    </xf>
    <xf numFmtId="0" fontId="6" fillId="0" borderId="2" xfId="0" applyFont="1" applyBorder="1">
      <alignment vertical="top"/>
    </xf>
    <xf numFmtId="166" fontId="2" fillId="0" borderId="2" xfId="0" applyNumberFormat="1" applyFont="1" applyBorder="1">
      <alignment vertical="top"/>
    </xf>
    <xf numFmtId="164" fontId="2" fillId="0" borderId="2" xfId="0" applyNumberFormat="1" applyFont="1" applyBorder="1">
      <alignment vertical="top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164" fontId="5" fillId="8" borderId="4" xfId="0" applyNumberFormat="1" applyFont="1" applyFill="1" applyBorder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166" fontId="5" fillId="8" borderId="6" xfId="0" applyNumberFormat="1" applyFont="1" applyFill="1" applyBorder="1" applyAlignment="1">
      <alignment horizontal="right" vertical="center"/>
    </xf>
    <xf numFmtId="164" fontId="5" fillId="8" borderId="6" xfId="0" applyNumberFormat="1" applyFont="1" applyFill="1" applyBorder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164" fontId="5" fillId="8" borderId="8" xfId="0" applyNumberFormat="1" applyFont="1" applyFill="1" applyBorder="1" applyAlignment="1">
      <alignment horizontal="right" vertical="center"/>
    </xf>
    <xf numFmtId="0" fontId="5" fillId="9" borderId="3" xfId="0" applyFont="1" applyFill="1" applyBorder="1" applyAlignment="1">
      <alignment horizontal="left" vertical="center"/>
    </xf>
    <xf numFmtId="0" fontId="3" fillId="0" borderId="9" xfId="0" applyFont="1" applyBorder="1">
      <alignment vertical="top"/>
    </xf>
    <xf numFmtId="0" fontId="3" fillId="0" borderId="4" xfId="0" applyFont="1" applyBorder="1">
      <alignment vertical="top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4" borderId="10" xfId="0" applyFont="1" applyFill="1" applyBorder="1">
      <alignment vertical="top"/>
    </xf>
    <xf numFmtId="164" fontId="3" fillId="4" borderId="2" xfId="0" applyNumberFormat="1" applyFont="1" applyFill="1" applyBorder="1">
      <alignment vertical="top"/>
    </xf>
    <xf numFmtId="166" fontId="3" fillId="4" borderId="2" xfId="0" applyNumberFormat="1" applyFont="1" applyFill="1" applyBorder="1">
      <alignment vertical="top"/>
    </xf>
    <xf numFmtId="164" fontId="3" fillId="4" borderId="11" xfId="0" applyNumberFormat="1" applyFont="1" applyFill="1" applyBorder="1">
      <alignment vertical="top"/>
    </xf>
    <xf numFmtId="0" fontId="3" fillId="0" borderId="10" xfId="0" applyFont="1" applyBorder="1">
      <alignment vertical="top"/>
    </xf>
    <xf numFmtId="164" fontId="3" fillId="0" borderId="11" xfId="0" applyNumberFormat="1" applyFont="1" applyBorder="1">
      <alignment vertical="top"/>
    </xf>
    <xf numFmtId="0" fontId="3" fillId="0" borderId="12" xfId="0" applyFont="1" applyBorder="1">
      <alignment vertical="top"/>
    </xf>
    <xf numFmtId="164" fontId="3" fillId="0" borderId="13" xfId="0" applyNumberFormat="1" applyFont="1" applyBorder="1">
      <alignment vertical="top"/>
    </xf>
    <xf numFmtId="166" fontId="3" fillId="0" borderId="13" xfId="0" applyNumberFormat="1" applyFont="1" applyBorder="1">
      <alignment vertical="top"/>
    </xf>
    <xf numFmtId="164" fontId="3" fillId="0" borderId="14" xfId="0" applyNumberFormat="1" applyFont="1" applyBorder="1">
      <alignment vertical="top"/>
    </xf>
    <xf numFmtId="0" fontId="2" fillId="0" borderId="12" xfId="0" applyFont="1" applyBorder="1">
      <alignment vertical="top"/>
    </xf>
    <xf numFmtId="3" fontId="2" fillId="0" borderId="13" xfId="0" applyNumberFormat="1" applyFont="1" applyBorder="1">
      <alignment vertical="top"/>
    </xf>
    <xf numFmtId="0" fontId="3" fillId="0" borderId="13" xfId="0" applyFont="1" applyBorder="1">
      <alignment vertical="top"/>
    </xf>
    <xf numFmtId="164" fontId="2" fillId="0" borderId="14" xfId="0" applyNumberFormat="1" applyFont="1" applyBorder="1">
      <alignment vertical="top"/>
    </xf>
    <xf numFmtId="0" fontId="5" fillId="6" borderId="2" xfId="0" applyFont="1" applyFill="1" applyBorder="1" applyAlignment="1">
      <alignment horizontal="center" vertical="center"/>
    </xf>
    <xf numFmtId="0" fontId="3" fillId="0" borderId="2" xfId="0" applyFont="1" applyBorder="1">
      <alignment vertical="top"/>
    </xf>
    <xf numFmtId="0" fontId="10" fillId="0" borderId="1" xfId="0" applyFont="1" applyAlignment="1">
      <alignment vertical="center"/>
    </xf>
    <xf numFmtId="0" fontId="0" fillId="0" borderId="1" xfId="0" applyAlignment="1">
      <alignment horizontal="left" vertical="center" indent="1"/>
    </xf>
    <xf numFmtId="0" fontId="11" fillId="0" borderId="1" xfId="0" applyFont="1" applyAlignment="1">
      <alignment horizontal="left" vertical="center" indent="1"/>
    </xf>
    <xf numFmtId="0" fontId="0" fillId="0" borderId="1" xfId="0" applyAlignment="1">
      <alignment horizontal="left" vertical="center" indent="2"/>
    </xf>
    <xf numFmtId="0" fontId="11" fillId="0" borderId="1" xfId="0" applyFont="1" applyAlignment="1">
      <alignment horizontal="left" vertical="center" indent="2"/>
    </xf>
    <xf numFmtId="0" fontId="12" fillId="0" borderId="1" xfId="0" applyFont="1" applyAlignment="1">
      <alignment horizontal="left" vertical="center" wrapText="1" indent="1"/>
    </xf>
    <xf numFmtId="0" fontId="1" fillId="0" borderId="1" xfId="0" applyFont="1">
      <alignment vertical="top"/>
    </xf>
    <xf numFmtId="0" fontId="9" fillId="0" borderId="1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10001"/>
      </a:dk1>
      <a:lt1>
        <a:srgbClr val="FEFEFF"/>
      </a:lt1>
      <a:dk2>
        <a:srgbClr val="44556B"/>
      </a:dk2>
      <a:lt2>
        <a:srgbClr val="E7E6E6"/>
      </a:lt2>
      <a:accent1>
        <a:srgbClr val="5B9BD5"/>
      </a:accent1>
      <a:accent2>
        <a:srgbClr val="EC7C31"/>
      </a:accent2>
      <a:accent3>
        <a:srgbClr val="A4A5A4"/>
      </a:accent3>
      <a:accent4>
        <a:srgbClr val="FEC100"/>
      </a:accent4>
      <a:accent5>
        <a:srgbClr val="4472C4"/>
      </a:accent5>
      <a:accent6>
        <a:srgbClr val="70AC46"/>
      </a:accent6>
      <a:hlink>
        <a:srgbClr val="0562C0"/>
      </a:hlink>
      <a:folHlink>
        <a:srgbClr val="944E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CC28-8CB8-BF41-1FB9-7EC368EFF4B2}">
  <dimension ref="A1:E11"/>
  <sheetViews>
    <sheetView workbookViewId="0">
      <selection sqref="A1:C11"/>
    </sheetView>
  </sheetViews>
  <sheetFormatPr defaultColWidth="8.85546875" defaultRowHeight="15" customHeight="1"/>
  <cols>
    <col min="1" max="1" width="17.85546875" customWidth="1"/>
    <col min="2" max="2" width="25.42578125" customWidth="1"/>
    <col min="3" max="3" width="4.85546875" customWidth="1"/>
    <col min="4" max="4" width="11.28515625" customWidth="1"/>
    <col min="5" max="5" width="6.140625" customWidth="1"/>
  </cols>
  <sheetData>
    <row r="1" spans="1:5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15" customHeight="1">
      <c r="A3" s="2" t="s">
        <v>10</v>
      </c>
      <c r="B3" s="2" t="s">
        <v>11</v>
      </c>
      <c r="C3" s="2" t="s">
        <v>7</v>
      </c>
      <c r="D3" s="2" t="s">
        <v>8</v>
      </c>
      <c r="E3" s="3" t="s">
        <v>9</v>
      </c>
    </row>
    <row r="4" spans="1:5" ht="15" customHeight="1">
      <c r="A4" s="2" t="s">
        <v>12</v>
      </c>
      <c r="B4" s="2" t="s">
        <v>13</v>
      </c>
      <c r="C4" s="2" t="s">
        <v>14</v>
      </c>
      <c r="D4" s="2" t="s">
        <v>15</v>
      </c>
      <c r="E4" s="3" t="s">
        <v>9</v>
      </c>
    </row>
    <row r="5" spans="1:5" ht="15" customHeight="1">
      <c r="A5" s="2" t="s">
        <v>16</v>
      </c>
      <c r="B5" s="2" t="s">
        <v>17</v>
      </c>
      <c r="C5" s="2" t="s">
        <v>14</v>
      </c>
      <c r="D5" s="2" t="s">
        <v>15</v>
      </c>
      <c r="E5" s="3" t="s">
        <v>9</v>
      </c>
    </row>
    <row r="6" spans="1:5" ht="15" customHeight="1">
      <c r="A6" s="2" t="s">
        <v>18</v>
      </c>
      <c r="B6" s="2" t="s">
        <v>19</v>
      </c>
      <c r="C6" s="2" t="s">
        <v>14</v>
      </c>
      <c r="D6" s="2" t="s">
        <v>20</v>
      </c>
      <c r="E6" s="3" t="s">
        <v>9</v>
      </c>
    </row>
    <row r="7" spans="1:5" ht="15" customHeight="1">
      <c r="A7" s="2" t="s">
        <v>21</v>
      </c>
      <c r="B7" s="2" t="s">
        <v>22</v>
      </c>
      <c r="C7" s="2" t="s">
        <v>23</v>
      </c>
      <c r="D7" s="2" t="s">
        <v>24</v>
      </c>
      <c r="E7" s="3" t="s">
        <v>9</v>
      </c>
    </row>
    <row r="8" spans="1:5" ht="15" customHeight="1">
      <c r="A8" s="2" t="s">
        <v>25</v>
      </c>
      <c r="B8" s="2" t="s">
        <v>26</v>
      </c>
      <c r="C8" s="2" t="s">
        <v>7</v>
      </c>
      <c r="D8" s="2" t="s">
        <v>8</v>
      </c>
      <c r="E8" s="3" t="s">
        <v>9</v>
      </c>
    </row>
    <row r="9" spans="1:5" ht="15" customHeight="1">
      <c r="A9" s="2" t="s">
        <v>27</v>
      </c>
      <c r="B9" s="2" t="s">
        <v>28</v>
      </c>
      <c r="C9" s="2" t="s">
        <v>7</v>
      </c>
      <c r="D9" s="2" t="s">
        <v>8</v>
      </c>
      <c r="E9" s="3" t="s">
        <v>9</v>
      </c>
    </row>
    <row r="10" spans="1:5" ht="15" customHeight="1">
      <c r="A10" s="2" t="s">
        <v>29</v>
      </c>
      <c r="B10" s="2" t="s">
        <v>30</v>
      </c>
      <c r="C10" s="2" t="s">
        <v>7</v>
      </c>
      <c r="D10" s="2" t="s">
        <v>8</v>
      </c>
      <c r="E10" s="3" t="s">
        <v>9</v>
      </c>
    </row>
    <row r="11" spans="1:5" ht="15" customHeight="1">
      <c r="A11" s="2" t="s">
        <v>31</v>
      </c>
      <c r="B11" s="2" t="s">
        <v>32</v>
      </c>
      <c r="C11" s="2" t="s">
        <v>7</v>
      </c>
      <c r="D11" s="2" t="s">
        <v>33</v>
      </c>
      <c r="E11" s="3" t="s">
        <v>9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384BC-27DE-66F8-76D8-252BE45869CC}">
  <dimension ref="A1:Q58"/>
  <sheetViews>
    <sheetView tabSelected="1" topLeftCell="G1" workbookViewId="0">
      <selection activeCell="N27" sqref="N27"/>
    </sheetView>
  </sheetViews>
  <sheetFormatPr defaultColWidth="8.85546875" defaultRowHeight="15" customHeight="1"/>
  <cols>
    <col min="1" max="1" width="7.5703125" customWidth="1"/>
    <col min="2" max="2" width="17.85546875" customWidth="1"/>
    <col min="3" max="3" width="12.5703125" customWidth="1"/>
    <col min="4" max="4" width="9.140625" customWidth="1"/>
    <col min="5" max="5" width="13.85546875" customWidth="1"/>
    <col min="6" max="6" width="11.140625" customWidth="1"/>
    <col min="7" max="7" width="19.140625" customWidth="1"/>
    <col min="12" max="12" width="66.42578125" bestFit="1" customWidth="1"/>
    <col min="13" max="13" width="22.140625" bestFit="1" customWidth="1"/>
    <col min="14" max="14" width="20.42578125" bestFit="1" customWidth="1"/>
    <col min="17" max="17" width="69.85546875" bestFit="1" customWidth="1"/>
  </cols>
  <sheetData>
    <row r="1" spans="1:17" ht="15" customHeight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17" ht="15" customHeight="1">
      <c r="A2" s="2" t="s">
        <v>41</v>
      </c>
      <c r="B2" s="2" t="s">
        <v>5</v>
      </c>
      <c r="C2" s="4">
        <v>0.85</v>
      </c>
      <c r="D2" s="2" t="s">
        <v>42</v>
      </c>
      <c r="E2" s="5" t="s">
        <v>43</v>
      </c>
      <c r="F2" s="5" t="s">
        <v>44</v>
      </c>
      <c r="G2" s="2" t="s">
        <v>45</v>
      </c>
    </row>
    <row r="3" spans="1:17" ht="15" customHeight="1">
      <c r="A3" s="2" t="s">
        <v>46</v>
      </c>
      <c r="B3" s="2" t="s">
        <v>10</v>
      </c>
      <c r="C3" s="4">
        <v>0.65</v>
      </c>
      <c r="D3" s="2" t="s">
        <v>42</v>
      </c>
      <c r="E3" s="5" t="s">
        <v>43</v>
      </c>
      <c r="F3" s="5" t="s">
        <v>44</v>
      </c>
      <c r="G3" s="2" t="s">
        <v>47</v>
      </c>
    </row>
    <row r="4" spans="1:17" ht="15" customHeight="1">
      <c r="A4" s="2" t="s">
        <v>48</v>
      </c>
      <c r="B4" s="2" t="s">
        <v>12</v>
      </c>
      <c r="C4" s="4">
        <v>45</v>
      </c>
      <c r="D4" s="2" t="s">
        <v>49</v>
      </c>
      <c r="E4" s="5" t="s">
        <v>43</v>
      </c>
      <c r="F4" s="5" t="s">
        <v>44</v>
      </c>
      <c r="G4" s="2" t="s">
        <v>50</v>
      </c>
    </row>
    <row r="5" spans="1:17" ht="15" customHeight="1">
      <c r="A5" s="2" t="s">
        <v>51</v>
      </c>
      <c r="B5" s="2" t="s">
        <v>16</v>
      </c>
      <c r="C5" s="4">
        <v>85</v>
      </c>
      <c r="D5" s="2" t="s">
        <v>49</v>
      </c>
      <c r="E5" s="5" t="s">
        <v>43</v>
      </c>
      <c r="F5" s="5" t="s">
        <v>44</v>
      </c>
      <c r="G5" s="2" t="s">
        <v>52</v>
      </c>
      <c r="L5" s="1" t="s">
        <v>35</v>
      </c>
      <c r="M5" s="1" t="s">
        <v>37</v>
      </c>
      <c r="N5" s="1" t="s">
        <v>40</v>
      </c>
    </row>
    <row r="6" spans="1:17" ht="15" customHeight="1">
      <c r="A6" s="2" t="s">
        <v>53</v>
      </c>
      <c r="B6" s="2" t="s">
        <v>18</v>
      </c>
      <c r="C6" s="4">
        <v>35</v>
      </c>
      <c r="D6" s="2" t="s">
        <v>49</v>
      </c>
      <c r="E6" s="5" t="s">
        <v>43</v>
      </c>
      <c r="F6" s="5" t="s">
        <v>44</v>
      </c>
      <c r="G6" s="2" t="s">
        <v>54</v>
      </c>
      <c r="L6" s="2" t="s">
        <v>5</v>
      </c>
      <c r="M6" s="2" t="s">
        <v>42</v>
      </c>
      <c r="N6" s="2" t="s">
        <v>45</v>
      </c>
    </row>
    <row r="7" spans="1:17" ht="15" customHeight="1">
      <c r="A7" s="2" t="s">
        <v>55</v>
      </c>
      <c r="B7" s="2" t="s">
        <v>21</v>
      </c>
      <c r="C7" s="4">
        <v>2.5</v>
      </c>
      <c r="D7" s="2" t="s">
        <v>56</v>
      </c>
      <c r="E7" s="5" t="s">
        <v>43</v>
      </c>
      <c r="F7" s="5" t="s">
        <v>44</v>
      </c>
      <c r="G7" s="2" t="s">
        <v>57</v>
      </c>
      <c r="L7" s="2" t="s">
        <v>10</v>
      </c>
      <c r="M7" s="2" t="s">
        <v>42</v>
      </c>
      <c r="N7" s="2" t="s">
        <v>47</v>
      </c>
    </row>
    <row r="8" spans="1:17" ht="15" customHeight="1">
      <c r="A8" s="2" t="s">
        <v>58</v>
      </c>
      <c r="B8" s="2" t="s">
        <v>25</v>
      </c>
      <c r="C8" s="4">
        <v>0.9</v>
      </c>
      <c r="D8" s="2" t="s">
        <v>42</v>
      </c>
      <c r="E8" s="5" t="s">
        <v>43</v>
      </c>
      <c r="F8" s="5" t="s">
        <v>44</v>
      </c>
      <c r="G8" s="2" t="s">
        <v>59</v>
      </c>
      <c r="L8" s="2" t="s">
        <v>12</v>
      </c>
      <c r="M8" s="2" t="s">
        <v>49</v>
      </c>
      <c r="N8" s="2" t="s">
        <v>50</v>
      </c>
    </row>
    <row r="9" spans="1:17" ht="15" customHeight="1">
      <c r="A9" s="2" t="s">
        <v>60</v>
      </c>
      <c r="B9" s="2" t="s">
        <v>27</v>
      </c>
      <c r="C9" s="4">
        <v>0.4</v>
      </c>
      <c r="D9" s="2" t="s">
        <v>42</v>
      </c>
      <c r="E9" s="5" t="s">
        <v>43</v>
      </c>
      <c r="F9" s="5" t="s">
        <v>44</v>
      </c>
      <c r="G9" s="2" t="s">
        <v>61</v>
      </c>
      <c r="L9" s="2" t="s">
        <v>16</v>
      </c>
      <c r="M9" s="2" t="s">
        <v>49</v>
      </c>
      <c r="N9" s="2" t="s">
        <v>52</v>
      </c>
      <c r="Q9" s="48"/>
    </row>
    <row r="10" spans="1:17" ht="15" customHeight="1">
      <c r="A10" s="2" t="s">
        <v>62</v>
      </c>
      <c r="B10" s="2" t="s">
        <v>29</v>
      </c>
      <c r="C10" s="4">
        <v>0.55000000000000004</v>
      </c>
      <c r="D10" s="2" t="s">
        <v>42</v>
      </c>
      <c r="E10" s="5" t="s">
        <v>43</v>
      </c>
      <c r="F10" s="5" t="s">
        <v>44</v>
      </c>
      <c r="G10" s="2" t="s">
        <v>63</v>
      </c>
      <c r="L10" s="2" t="s">
        <v>18</v>
      </c>
      <c r="M10" s="2" t="s">
        <v>49</v>
      </c>
      <c r="N10" s="2" t="s">
        <v>54</v>
      </c>
    </row>
    <row r="11" spans="1:17" ht="15" customHeight="1">
      <c r="A11" s="2" t="s">
        <v>64</v>
      </c>
      <c r="B11" s="2" t="s">
        <v>31</v>
      </c>
      <c r="C11" s="4">
        <v>0.3</v>
      </c>
      <c r="D11" s="2" t="s">
        <v>42</v>
      </c>
      <c r="E11" s="5" t="s">
        <v>43</v>
      </c>
      <c r="F11" s="5" t="s">
        <v>44</v>
      </c>
      <c r="G11" s="2" t="s">
        <v>65</v>
      </c>
      <c r="L11" s="2" t="s">
        <v>21</v>
      </c>
      <c r="M11" s="2" t="s">
        <v>56</v>
      </c>
      <c r="N11" s="2" t="s">
        <v>57</v>
      </c>
    </row>
    <row r="12" spans="1:17" ht="15" customHeight="1">
      <c r="L12" s="2" t="s">
        <v>25</v>
      </c>
      <c r="M12" s="2" t="s">
        <v>42</v>
      </c>
      <c r="N12" s="2" t="s">
        <v>59</v>
      </c>
    </row>
    <row r="13" spans="1:17" ht="15" customHeight="1">
      <c r="L13" s="2" t="s">
        <v>27</v>
      </c>
      <c r="M13" s="2" t="s">
        <v>42</v>
      </c>
      <c r="N13" s="2" t="s">
        <v>61</v>
      </c>
    </row>
    <row r="14" spans="1:17" ht="15" customHeight="1">
      <c r="L14" s="2" t="s">
        <v>29</v>
      </c>
      <c r="M14" s="2" t="s">
        <v>42</v>
      </c>
      <c r="N14" s="2" t="s">
        <v>63</v>
      </c>
    </row>
    <row r="15" spans="1:17" ht="15" customHeight="1">
      <c r="L15" s="2" t="s">
        <v>31</v>
      </c>
      <c r="M15" s="2" t="s">
        <v>42</v>
      </c>
      <c r="N15" s="2" t="s">
        <v>65</v>
      </c>
    </row>
    <row r="16" spans="1:17" ht="15" customHeight="1">
      <c r="Q16" s="51"/>
    </row>
    <row r="17" spans="12:17" ht="15" customHeight="1">
      <c r="Q17" s="48"/>
    </row>
    <row r="19" spans="12:17" ht="15" customHeight="1">
      <c r="L19" s="47" t="s">
        <v>206</v>
      </c>
      <c r="M19" t="s">
        <v>212</v>
      </c>
      <c r="Q19" s="48"/>
    </row>
    <row r="20" spans="12:17" ht="15" customHeight="1">
      <c r="L20" s="49" t="s">
        <v>200</v>
      </c>
      <c r="M20" t="s">
        <v>207</v>
      </c>
      <c r="Q20" s="48"/>
    </row>
    <row r="21" spans="12:17" ht="15" customHeight="1">
      <c r="L21" s="49" t="s">
        <v>201</v>
      </c>
      <c r="M21" t="s">
        <v>207</v>
      </c>
      <c r="Q21" s="50"/>
    </row>
    <row r="22" spans="12:17" ht="15" customHeight="1">
      <c r="L22" s="49" t="s">
        <v>202</v>
      </c>
      <c r="M22" t="s">
        <v>207</v>
      </c>
      <c r="Q22" s="51"/>
    </row>
    <row r="23" spans="12:17" ht="15" customHeight="1">
      <c r="L23" s="49" t="s">
        <v>203</v>
      </c>
      <c r="M23" t="s">
        <v>208</v>
      </c>
    </row>
    <row r="24" spans="12:17" ht="15" customHeight="1">
      <c r="L24" s="49" t="s">
        <v>204</v>
      </c>
      <c r="M24" t="s">
        <v>207</v>
      </c>
      <c r="Q24" s="51"/>
    </row>
    <row r="25" spans="12:17" ht="15" customHeight="1">
      <c r="L25" s="49" t="s">
        <v>205</v>
      </c>
      <c r="M25" t="s">
        <v>209</v>
      </c>
      <c r="Q25" s="48"/>
    </row>
    <row r="26" spans="12:17" ht="15" customHeight="1">
      <c r="L26" s="49" t="s">
        <v>211</v>
      </c>
      <c r="M26" t="s">
        <v>210</v>
      </c>
    </row>
    <row r="27" spans="12:17" ht="15" customHeight="1">
      <c r="Q27" s="48"/>
    </row>
    <row r="28" spans="12:17" ht="15" customHeight="1">
      <c r="L28" s="52" t="s">
        <v>215</v>
      </c>
      <c r="M28" s="54" t="s">
        <v>216</v>
      </c>
      <c r="Q28" s="48"/>
    </row>
    <row r="29" spans="12:17" ht="15" customHeight="1">
      <c r="L29" s="52" t="s">
        <v>214</v>
      </c>
      <c r="M29" s="53" t="s">
        <v>213</v>
      </c>
      <c r="Q29" s="50"/>
    </row>
    <row r="30" spans="12:17" ht="15" customHeight="1">
      <c r="Q30" s="51"/>
    </row>
    <row r="31" spans="12:17" ht="15" customHeight="1">
      <c r="Q31" s="50"/>
    </row>
    <row r="32" spans="12:17" ht="15" customHeight="1">
      <c r="Q32" s="51"/>
    </row>
    <row r="33" spans="17:17" ht="15" customHeight="1">
      <c r="Q33" s="48"/>
    </row>
    <row r="35" spans="17:17" ht="15" customHeight="1">
      <c r="Q35" s="48"/>
    </row>
    <row r="36" spans="17:17" ht="15" customHeight="1">
      <c r="Q36" s="48"/>
    </row>
    <row r="37" spans="17:17" ht="15" customHeight="1">
      <c r="Q37" s="50"/>
    </row>
    <row r="38" spans="17:17" ht="15" customHeight="1">
      <c r="Q38" s="51"/>
    </row>
    <row r="40" spans="17:17" ht="15" customHeight="1">
      <c r="Q40" s="47"/>
    </row>
    <row r="43" spans="17:17" ht="15" customHeight="1">
      <c r="Q43" s="48"/>
    </row>
    <row r="45" spans="17:17" ht="15" customHeight="1">
      <c r="Q45" s="48"/>
    </row>
    <row r="46" spans="17:17" ht="15" customHeight="1">
      <c r="Q46" s="48"/>
    </row>
    <row r="47" spans="17:17" ht="15" customHeight="1">
      <c r="Q47" s="50"/>
    </row>
    <row r="48" spans="17:17" ht="15" customHeight="1">
      <c r="Q48" s="51"/>
    </row>
    <row r="49" spans="17:17" ht="15" customHeight="1">
      <c r="Q49" s="50"/>
    </row>
    <row r="50" spans="17:17" ht="15" customHeight="1">
      <c r="Q50" s="51"/>
    </row>
    <row r="51" spans="17:17" ht="15" customHeight="1">
      <c r="Q51" s="48"/>
    </row>
    <row r="53" spans="17:17" ht="15" customHeight="1">
      <c r="Q53" s="48"/>
    </row>
    <row r="54" spans="17:17" ht="15" customHeight="1">
      <c r="Q54" s="48"/>
    </row>
    <row r="55" spans="17:17" ht="15" customHeight="1">
      <c r="Q55" s="50"/>
    </row>
    <row r="56" spans="17:17" ht="15" customHeight="1">
      <c r="Q56" s="51"/>
    </row>
    <row r="57" spans="17:17" ht="15" customHeight="1">
      <c r="Q57" s="50"/>
    </row>
    <row r="58" spans="17:17" ht="15" customHeight="1">
      <c r="Q58" s="51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5B22-8AF8-6F95-0588-0AD332FB2FA8}">
  <dimension ref="A1:H7"/>
  <sheetViews>
    <sheetView workbookViewId="0">
      <selection activeCell="C2" sqref="C2"/>
    </sheetView>
  </sheetViews>
  <sheetFormatPr defaultColWidth="8.85546875" defaultRowHeight="15" customHeight="1"/>
  <cols>
    <col min="1" max="1" width="10.28515625" customWidth="1"/>
    <col min="2" max="2" width="13.140625" customWidth="1"/>
    <col min="3" max="3" width="14.28515625" customWidth="1"/>
    <col min="4" max="4" width="16.28515625" customWidth="1"/>
    <col min="5" max="5" width="13.28515625" customWidth="1"/>
    <col min="6" max="6" width="21.140625" customWidth="1"/>
    <col min="7" max="7" width="17.85546875" customWidth="1"/>
    <col min="8" max="8" width="6.140625" customWidth="1"/>
  </cols>
  <sheetData>
    <row r="1" spans="1:8" ht="15" customHeight="1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4</v>
      </c>
    </row>
    <row r="2" spans="1:8" ht="15" customHeight="1">
      <c r="A2" s="2" t="s">
        <v>73</v>
      </c>
      <c r="B2" s="2" t="s">
        <v>74</v>
      </c>
      <c r="C2" s="3" t="s">
        <v>75</v>
      </c>
      <c r="D2" s="4">
        <v>18</v>
      </c>
      <c r="E2" s="6">
        <v>1.5</v>
      </c>
      <c r="F2" s="3" t="s">
        <v>9</v>
      </c>
      <c r="G2" s="3" t="s">
        <v>9</v>
      </c>
      <c r="H2" s="3" t="s">
        <v>9</v>
      </c>
    </row>
    <row r="3" spans="1:8" ht="15" customHeight="1">
      <c r="A3" s="2" t="s">
        <v>76</v>
      </c>
      <c r="B3" s="2" t="s">
        <v>77</v>
      </c>
      <c r="C3" s="3" t="s">
        <v>75</v>
      </c>
      <c r="D3" s="4">
        <v>20</v>
      </c>
      <c r="E3" s="6">
        <v>1.5</v>
      </c>
      <c r="F3" s="3" t="s">
        <v>9</v>
      </c>
      <c r="G3" s="3" t="s">
        <v>9</v>
      </c>
      <c r="H3" s="3" t="s">
        <v>9</v>
      </c>
    </row>
    <row r="4" spans="1:8" ht="15" customHeight="1">
      <c r="A4" s="2" t="s">
        <v>78</v>
      </c>
      <c r="B4" s="2" t="s">
        <v>79</v>
      </c>
      <c r="C4" s="3">
        <v>1099</v>
      </c>
      <c r="D4" s="4">
        <v>22</v>
      </c>
      <c r="E4" s="6">
        <v>1</v>
      </c>
      <c r="F4" s="3" t="s">
        <v>80</v>
      </c>
      <c r="G4" s="3" t="s">
        <v>9</v>
      </c>
      <c r="H4" s="3" t="s">
        <v>9</v>
      </c>
    </row>
    <row r="5" spans="1:8" ht="15" customHeight="1">
      <c r="A5" s="2" t="s">
        <v>81</v>
      </c>
      <c r="B5" s="2" t="s">
        <v>82</v>
      </c>
      <c r="C5" s="3" t="s">
        <v>75</v>
      </c>
      <c r="D5" s="4">
        <v>17.5</v>
      </c>
      <c r="E5" s="6">
        <v>1.5</v>
      </c>
      <c r="F5" s="3" t="s">
        <v>9</v>
      </c>
      <c r="G5" s="3" t="s">
        <v>9</v>
      </c>
      <c r="H5" s="3" t="s">
        <v>9</v>
      </c>
    </row>
    <row r="6" spans="1:8" ht="15" customHeight="1">
      <c r="A6" s="2" t="s">
        <v>83</v>
      </c>
      <c r="B6" s="2" t="s">
        <v>84</v>
      </c>
      <c r="C6" s="3" t="s">
        <v>75</v>
      </c>
      <c r="D6" s="4">
        <v>19</v>
      </c>
      <c r="E6" s="6">
        <v>1.5</v>
      </c>
      <c r="F6" s="3" t="s">
        <v>9</v>
      </c>
      <c r="G6" s="3" t="s">
        <v>9</v>
      </c>
      <c r="H6" s="3" t="s">
        <v>9</v>
      </c>
    </row>
    <row r="7" spans="1:8" ht="15" customHeight="1">
      <c r="A7" s="2" t="s">
        <v>85</v>
      </c>
      <c r="B7" s="2" t="s">
        <v>86</v>
      </c>
      <c r="C7" s="3" t="s">
        <v>75</v>
      </c>
      <c r="D7" s="4">
        <v>18.5</v>
      </c>
      <c r="E7" s="6">
        <v>1.5</v>
      </c>
      <c r="F7" s="3" t="s">
        <v>9</v>
      </c>
      <c r="G7" s="3" t="s">
        <v>9</v>
      </c>
      <c r="H7" s="3" t="s">
        <v>9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7E17-D088-8E03-8B18-EE336C980FEC}">
  <dimension ref="A1:J16"/>
  <sheetViews>
    <sheetView topLeftCell="D1" workbookViewId="0">
      <pane ySplit="1" topLeftCell="A2" activePane="bottomLeft" state="frozen"/>
      <selection pane="bottomLeft" activeCell="H1" sqref="H1"/>
    </sheetView>
  </sheetViews>
  <sheetFormatPr defaultColWidth="8.85546875" defaultRowHeight="15" customHeight="1"/>
  <cols>
    <col min="1" max="1" width="8.5703125" customWidth="1"/>
    <col min="2" max="3" width="10.28515625" customWidth="1"/>
    <col min="4" max="4" width="13.28515625" customWidth="1"/>
    <col min="5" max="5" width="8.28515625" customWidth="1"/>
    <col min="6" max="6" width="9.7109375" customWidth="1"/>
    <col min="7" max="7" width="11.28515625" customWidth="1"/>
    <col min="8" max="8" width="11.140625" customWidth="1"/>
    <col min="9" max="9" width="6.5703125" customWidth="1"/>
    <col min="10" max="10" width="12" customWidth="1"/>
  </cols>
  <sheetData>
    <row r="1" spans="1:10" ht="15" customHeight="1">
      <c r="A1" s="1" t="s">
        <v>87</v>
      </c>
      <c r="B1" s="1" t="s">
        <v>88</v>
      </c>
      <c r="C1" s="1" t="s">
        <v>66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</row>
    <row r="2" spans="1:10" ht="15" customHeight="1">
      <c r="A2" s="2" t="s">
        <v>96</v>
      </c>
      <c r="B2" s="5" t="s">
        <v>97</v>
      </c>
      <c r="C2" s="2" t="s">
        <v>73</v>
      </c>
      <c r="D2" s="2" t="s">
        <v>74</v>
      </c>
      <c r="E2" s="7" t="s">
        <v>98</v>
      </c>
      <c r="F2" s="7" t="s">
        <v>99</v>
      </c>
      <c r="G2" s="2">
        <v>30</v>
      </c>
      <c r="H2" s="8">
        <f t="shared" ref="H2:H16" si="0">(F2-E2)*24-G2/60</f>
        <v>9</v>
      </c>
      <c r="I2" s="2" t="s">
        <v>100</v>
      </c>
      <c r="J2" s="2" t="s">
        <v>101</v>
      </c>
    </row>
    <row r="3" spans="1:10" ht="15" customHeight="1">
      <c r="A3" s="2" t="s">
        <v>102</v>
      </c>
      <c r="B3" s="5" t="s">
        <v>97</v>
      </c>
      <c r="C3" s="2" t="s">
        <v>76</v>
      </c>
      <c r="D3" s="2" t="s">
        <v>77</v>
      </c>
      <c r="E3" s="7" t="s">
        <v>98</v>
      </c>
      <c r="F3" s="7" t="s">
        <v>99</v>
      </c>
      <c r="G3" s="2">
        <v>30</v>
      </c>
      <c r="H3" s="8">
        <f t="shared" si="0"/>
        <v>9</v>
      </c>
      <c r="I3" s="2" t="s">
        <v>100</v>
      </c>
      <c r="J3" s="2" t="s">
        <v>101</v>
      </c>
    </row>
    <row r="4" spans="1:10" ht="15" customHeight="1">
      <c r="A4" s="2" t="s">
        <v>103</v>
      </c>
      <c r="B4" s="5" t="s">
        <v>97</v>
      </c>
      <c r="C4" s="2" t="s">
        <v>81</v>
      </c>
      <c r="D4" s="2" t="s">
        <v>82</v>
      </c>
      <c r="E4" s="7" t="s">
        <v>98</v>
      </c>
      <c r="F4" s="7" t="s">
        <v>99</v>
      </c>
      <c r="G4" s="2">
        <v>30</v>
      </c>
      <c r="H4" s="8">
        <f t="shared" si="0"/>
        <v>9</v>
      </c>
      <c r="I4" s="2" t="s">
        <v>104</v>
      </c>
      <c r="J4" s="2" t="s">
        <v>101</v>
      </c>
    </row>
    <row r="5" spans="1:10" ht="15" customHeight="1">
      <c r="A5" s="2" t="s">
        <v>105</v>
      </c>
      <c r="B5" s="5" t="s">
        <v>106</v>
      </c>
      <c r="C5" s="2" t="s">
        <v>73</v>
      </c>
      <c r="D5" s="2" t="s">
        <v>74</v>
      </c>
      <c r="E5" s="7" t="s">
        <v>98</v>
      </c>
      <c r="F5" s="7" t="s">
        <v>107</v>
      </c>
      <c r="G5" s="2">
        <v>30</v>
      </c>
      <c r="H5" s="8">
        <f t="shared" si="0"/>
        <v>9.5</v>
      </c>
      <c r="I5" s="2" t="s">
        <v>100</v>
      </c>
      <c r="J5" s="2" t="s">
        <v>108</v>
      </c>
    </row>
    <row r="6" spans="1:10" ht="15" customHeight="1">
      <c r="A6" s="2" t="s">
        <v>109</v>
      </c>
      <c r="B6" s="5" t="s">
        <v>106</v>
      </c>
      <c r="C6" s="2" t="s">
        <v>76</v>
      </c>
      <c r="D6" s="2" t="s">
        <v>77</v>
      </c>
      <c r="E6" s="7" t="s">
        <v>98</v>
      </c>
      <c r="F6" s="7" t="s">
        <v>107</v>
      </c>
      <c r="G6" s="2">
        <v>30</v>
      </c>
      <c r="H6" s="8">
        <f t="shared" si="0"/>
        <v>9.5</v>
      </c>
      <c r="I6" s="2" t="s">
        <v>100</v>
      </c>
      <c r="J6" s="2" t="s">
        <v>108</v>
      </c>
    </row>
    <row r="7" spans="1:10" ht="15" customHeight="1">
      <c r="A7" s="2" t="s">
        <v>110</v>
      </c>
      <c r="B7" s="5" t="s">
        <v>106</v>
      </c>
      <c r="C7" s="2" t="s">
        <v>81</v>
      </c>
      <c r="D7" s="2" t="s">
        <v>82</v>
      </c>
      <c r="E7" s="7" t="s">
        <v>98</v>
      </c>
      <c r="F7" s="7" t="s">
        <v>99</v>
      </c>
      <c r="G7" s="2">
        <v>30</v>
      </c>
      <c r="H7" s="8">
        <f t="shared" si="0"/>
        <v>9</v>
      </c>
      <c r="I7" s="2" t="s">
        <v>104</v>
      </c>
      <c r="J7" s="2" t="s">
        <v>101</v>
      </c>
    </row>
    <row r="8" spans="1:10" ht="15" customHeight="1">
      <c r="A8" s="2" t="s">
        <v>111</v>
      </c>
      <c r="B8" s="5" t="s">
        <v>112</v>
      </c>
      <c r="C8" s="2" t="s">
        <v>73</v>
      </c>
      <c r="D8" s="2" t="s">
        <v>74</v>
      </c>
      <c r="E8" s="7" t="s">
        <v>98</v>
      </c>
      <c r="F8" s="7" t="s">
        <v>113</v>
      </c>
      <c r="G8" s="2">
        <v>30</v>
      </c>
      <c r="H8" s="8">
        <f t="shared" si="0"/>
        <v>10.5</v>
      </c>
      <c r="I8" s="2" t="s">
        <v>100</v>
      </c>
      <c r="J8" s="2" t="s">
        <v>114</v>
      </c>
    </row>
    <row r="9" spans="1:10" ht="15" customHeight="1">
      <c r="A9" s="2" t="s">
        <v>115</v>
      </c>
      <c r="B9" s="5" t="s">
        <v>112</v>
      </c>
      <c r="C9" s="2" t="s">
        <v>76</v>
      </c>
      <c r="D9" s="2" t="s">
        <v>77</v>
      </c>
      <c r="E9" s="7" t="s">
        <v>98</v>
      </c>
      <c r="F9" s="7" t="s">
        <v>113</v>
      </c>
      <c r="G9" s="2">
        <v>30</v>
      </c>
      <c r="H9" s="8">
        <f t="shared" si="0"/>
        <v>10.5</v>
      </c>
      <c r="I9" s="2" t="s">
        <v>100</v>
      </c>
      <c r="J9" s="2" t="s">
        <v>114</v>
      </c>
    </row>
    <row r="10" spans="1:10" ht="15" customHeight="1">
      <c r="A10" s="2" t="s">
        <v>116</v>
      </c>
      <c r="B10" s="5" t="s">
        <v>112</v>
      </c>
      <c r="C10" s="2" t="s">
        <v>81</v>
      </c>
      <c r="D10" s="2" t="s">
        <v>82</v>
      </c>
      <c r="E10" s="7" t="s">
        <v>98</v>
      </c>
      <c r="F10" s="7" t="s">
        <v>107</v>
      </c>
      <c r="G10" s="2">
        <v>30</v>
      </c>
      <c r="H10" s="8">
        <f t="shared" si="0"/>
        <v>9.5</v>
      </c>
      <c r="I10" s="2" t="s">
        <v>104</v>
      </c>
      <c r="J10" s="2" t="s">
        <v>108</v>
      </c>
    </row>
    <row r="11" spans="1:10" ht="15" customHeight="1">
      <c r="A11" s="2" t="s">
        <v>117</v>
      </c>
      <c r="B11" s="5" t="s">
        <v>118</v>
      </c>
      <c r="C11" s="2" t="s">
        <v>73</v>
      </c>
      <c r="D11" s="2" t="s">
        <v>74</v>
      </c>
      <c r="E11" s="7" t="s">
        <v>98</v>
      </c>
      <c r="F11" s="7" t="s">
        <v>99</v>
      </c>
      <c r="G11" s="2">
        <v>30</v>
      </c>
      <c r="H11" s="8">
        <f t="shared" si="0"/>
        <v>9</v>
      </c>
      <c r="I11" s="2" t="s">
        <v>100</v>
      </c>
      <c r="J11" s="2" t="s">
        <v>101</v>
      </c>
    </row>
    <row r="12" spans="1:10" ht="15" customHeight="1">
      <c r="A12" s="2" t="s">
        <v>119</v>
      </c>
      <c r="B12" s="5" t="s">
        <v>118</v>
      </c>
      <c r="C12" s="2" t="s">
        <v>76</v>
      </c>
      <c r="D12" s="2" t="s">
        <v>77</v>
      </c>
      <c r="E12" s="7" t="s">
        <v>98</v>
      </c>
      <c r="F12" s="7" t="s">
        <v>99</v>
      </c>
      <c r="G12" s="2">
        <v>30</v>
      </c>
      <c r="H12" s="8">
        <f t="shared" si="0"/>
        <v>9</v>
      </c>
      <c r="I12" s="2" t="s">
        <v>100</v>
      </c>
      <c r="J12" s="2" t="s">
        <v>101</v>
      </c>
    </row>
    <row r="13" spans="1:10" ht="15" customHeight="1">
      <c r="A13" s="2" t="s">
        <v>120</v>
      </c>
      <c r="B13" s="5" t="s">
        <v>118</v>
      </c>
      <c r="C13" s="2" t="s">
        <v>81</v>
      </c>
      <c r="D13" s="2" t="s">
        <v>82</v>
      </c>
      <c r="E13" s="7" t="s">
        <v>98</v>
      </c>
      <c r="F13" s="7" t="s">
        <v>99</v>
      </c>
      <c r="G13" s="2">
        <v>30</v>
      </c>
      <c r="H13" s="8">
        <f t="shared" si="0"/>
        <v>9</v>
      </c>
      <c r="I13" s="2" t="s">
        <v>104</v>
      </c>
      <c r="J13" s="2" t="s">
        <v>101</v>
      </c>
    </row>
    <row r="14" spans="1:10" ht="15" customHeight="1">
      <c r="A14" s="2" t="s">
        <v>121</v>
      </c>
      <c r="B14" s="5" t="s">
        <v>122</v>
      </c>
      <c r="C14" s="2" t="s">
        <v>73</v>
      </c>
      <c r="D14" s="2" t="s">
        <v>74</v>
      </c>
      <c r="E14" s="7" t="s">
        <v>98</v>
      </c>
      <c r="F14" s="7" t="s">
        <v>123</v>
      </c>
      <c r="G14" s="2">
        <v>30</v>
      </c>
      <c r="H14" s="8">
        <f t="shared" si="0"/>
        <v>9.9999999999999982</v>
      </c>
      <c r="I14" s="2" t="s">
        <v>100</v>
      </c>
      <c r="J14" s="2" t="s">
        <v>124</v>
      </c>
    </row>
    <row r="15" spans="1:10" ht="15" customHeight="1">
      <c r="A15" s="2" t="s">
        <v>125</v>
      </c>
      <c r="B15" s="5" t="s">
        <v>122</v>
      </c>
      <c r="C15" s="2" t="s">
        <v>76</v>
      </c>
      <c r="D15" s="2" t="s">
        <v>77</v>
      </c>
      <c r="E15" s="7" t="s">
        <v>98</v>
      </c>
      <c r="F15" s="7" t="s">
        <v>123</v>
      </c>
      <c r="G15" s="2">
        <v>30</v>
      </c>
      <c r="H15" s="8">
        <f t="shared" si="0"/>
        <v>9.9999999999999982</v>
      </c>
      <c r="I15" s="2" t="s">
        <v>100</v>
      </c>
      <c r="J15" s="2" t="s">
        <v>124</v>
      </c>
    </row>
    <row r="16" spans="1:10" ht="15" customHeight="1">
      <c r="A16" s="2" t="s">
        <v>126</v>
      </c>
      <c r="B16" s="5" t="s">
        <v>122</v>
      </c>
      <c r="C16" s="2" t="s">
        <v>81</v>
      </c>
      <c r="D16" s="2" t="s">
        <v>82</v>
      </c>
      <c r="E16" s="7" t="s">
        <v>98</v>
      </c>
      <c r="F16" s="7" t="s">
        <v>107</v>
      </c>
      <c r="G16" s="2">
        <v>30</v>
      </c>
      <c r="H16" s="8">
        <f t="shared" si="0"/>
        <v>9.5</v>
      </c>
      <c r="I16" s="2" t="s">
        <v>104</v>
      </c>
      <c r="J16" s="2" t="s">
        <v>124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20E5-6618-DE28-A943-00F4340107E8}">
  <dimension ref="A1:J26"/>
  <sheetViews>
    <sheetView topLeftCell="E1" workbookViewId="0">
      <pane ySplit="1" topLeftCell="A2" activePane="bottomLeft" state="frozen"/>
      <selection pane="bottomLeft" activeCell="I2" sqref="I2"/>
    </sheetView>
  </sheetViews>
  <sheetFormatPr defaultColWidth="8.85546875" defaultRowHeight="15" customHeight="1"/>
  <cols>
    <col min="1" max="1" width="7.7109375" customWidth="1"/>
    <col min="2" max="3" width="10.28515625" customWidth="1"/>
    <col min="4" max="4" width="13.28515625" customWidth="1"/>
    <col min="5" max="5" width="6.5703125" customWidth="1"/>
    <col min="6" max="6" width="17.85546875" customWidth="1"/>
    <col min="7" max="7" width="8.5703125" customWidth="1"/>
    <col min="8" max="8" width="4.85546875" customWidth="1"/>
    <col min="9" max="9" width="8.7109375" customWidth="1"/>
    <col min="10" max="10" width="17.7109375" customWidth="1"/>
  </cols>
  <sheetData>
    <row r="1" spans="1:10" ht="15" customHeight="1">
      <c r="A1" s="1" t="s">
        <v>127</v>
      </c>
      <c r="B1" s="1" t="s">
        <v>88</v>
      </c>
      <c r="C1" s="1" t="s">
        <v>66</v>
      </c>
      <c r="D1" s="1" t="s">
        <v>89</v>
      </c>
      <c r="E1" s="1" t="s">
        <v>94</v>
      </c>
      <c r="F1" s="1" t="s">
        <v>35</v>
      </c>
      <c r="G1" s="1" t="s">
        <v>128</v>
      </c>
      <c r="H1" s="1" t="s">
        <v>2</v>
      </c>
      <c r="I1" s="1" t="s">
        <v>129</v>
      </c>
      <c r="J1" s="1" t="s">
        <v>95</v>
      </c>
    </row>
    <row r="2" spans="1:10" ht="15" customHeight="1">
      <c r="A2" s="2" t="s">
        <v>130</v>
      </c>
      <c r="B2" s="5" t="s">
        <v>97</v>
      </c>
      <c r="C2" s="2" t="s">
        <v>73</v>
      </c>
      <c r="D2" s="2" t="s">
        <v>74</v>
      </c>
      <c r="E2" s="2" t="s">
        <v>100</v>
      </c>
      <c r="F2" s="2" t="s">
        <v>5</v>
      </c>
      <c r="G2" s="9">
        <v>450</v>
      </c>
      <c r="H2" s="2" t="s">
        <v>7</v>
      </c>
      <c r="I2" s="10" t="s">
        <v>131</v>
      </c>
      <c r="J2" s="2" t="s">
        <v>132</v>
      </c>
    </row>
    <row r="3" spans="1:10" ht="15" customHeight="1">
      <c r="A3" s="2" t="s">
        <v>133</v>
      </c>
      <c r="B3" s="5" t="s">
        <v>97</v>
      </c>
      <c r="C3" s="2" t="s">
        <v>76</v>
      </c>
      <c r="D3" s="2" t="s">
        <v>77</v>
      </c>
      <c r="E3" s="2" t="s">
        <v>100</v>
      </c>
      <c r="F3" s="2" t="s">
        <v>5</v>
      </c>
      <c r="G3" s="9">
        <v>450</v>
      </c>
      <c r="H3" s="2" t="s">
        <v>7</v>
      </c>
      <c r="I3" s="10" t="s">
        <v>131</v>
      </c>
      <c r="J3" s="2" t="s">
        <v>132</v>
      </c>
    </row>
    <row r="4" spans="1:10" ht="15" customHeight="1">
      <c r="A4" s="2" t="s">
        <v>134</v>
      </c>
      <c r="B4" s="5" t="s">
        <v>97</v>
      </c>
      <c r="C4" s="2" t="s">
        <v>81</v>
      </c>
      <c r="D4" s="2" t="s">
        <v>82</v>
      </c>
      <c r="E4" s="2" t="s">
        <v>104</v>
      </c>
      <c r="F4" s="2" t="s">
        <v>10</v>
      </c>
      <c r="G4" s="9">
        <v>320</v>
      </c>
      <c r="H4" s="2" t="s">
        <v>7</v>
      </c>
      <c r="I4" s="10" t="s">
        <v>131</v>
      </c>
      <c r="J4" s="2" t="s">
        <v>135</v>
      </c>
    </row>
    <row r="5" spans="1:10" ht="15" customHeight="1">
      <c r="A5" s="2" t="s">
        <v>136</v>
      </c>
      <c r="B5" s="5" t="s">
        <v>97</v>
      </c>
      <c r="C5" s="2" t="s">
        <v>81</v>
      </c>
      <c r="D5" s="2" t="s">
        <v>82</v>
      </c>
      <c r="E5" s="2" t="s">
        <v>104</v>
      </c>
      <c r="F5" s="2" t="s">
        <v>12</v>
      </c>
      <c r="G5" s="9">
        <v>2</v>
      </c>
      <c r="H5" s="2" t="s">
        <v>14</v>
      </c>
      <c r="I5" s="10" t="s">
        <v>131</v>
      </c>
      <c r="J5" s="2" t="s">
        <v>137</v>
      </c>
    </row>
    <row r="6" spans="1:10" ht="15" customHeight="1">
      <c r="A6" s="2" t="s">
        <v>138</v>
      </c>
      <c r="B6" s="5" t="s">
        <v>106</v>
      </c>
      <c r="C6" s="2" t="s">
        <v>73</v>
      </c>
      <c r="D6" s="2" t="s">
        <v>74</v>
      </c>
      <c r="E6" s="2" t="s">
        <v>100</v>
      </c>
      <c r="F6" s="2" t="s">
        <v>5</v>
      </c>
      <c r="G6" s="9">
        <v>520</v>
      </c>
      <c r="H6" s="2" t="s">
        <v>7</v>
      </c>
      <c r="I6" s="10" t="s">
        <v>131</v>
      </c>
      <c r="J6" s="2" t="s">
        <v>139</v>
      </c>
    </row>
    <row r="7" spans="1:10" ht="15" customHeight="1">
      <c r="A7" s="2" t="s">
        <v>140</v>
      </c>
      <c r="B7" s="5" t="s">
        <v>106</v>
      </c>
      <c r="C7" s="2" t="s">
        <v>76</v>
      </c>
      <c r="D7" s="2" t="s">
        <v>77</v>
      </c>
      <c r="E7" s="2" t="s">
        <v>100</v>
      </c>
      <c r="F7" s="2" t="s">
        <v>5</v>
      </c>
      <c r="G7" s="9">
        <v>520</v>
      </c>
      <c r="H7" s="2" t="s">
        <v>7</v>
      </c>
      <c r="I7" s="10" t="s">
        <v>131</v>
      </c>
      <c r="J7" s="2" t="s">
        <v>139</v>
      </c>
    </row>
    <row r="8" spans="1:10" ht="15" customHeight="1">
      <c r="A8" s="2" t="s">
        <v>141</v>
      </c>
      <c r="B8" s="5" t="s">
        <v>106</v>
      </c>
      <c r="C8" s="2" t="s">
        <v>81</v>
      </c>
      <c r="D8" s="2" t="s">
        <v>82</v>
      </c>
      <c r="E8" s="2" t="s">
        <v>104</v>
      </c>
      <c r="F8" s="2" t="s">
        <v>10</v>
      </c>
      <c r="G8" s="9">
        <v>380</v>
      </c>
      <c r="H8" s="2" t="s">
        <v>7</v>
      </c>
      <c r="I8" s="10" t="s">
        <v>131</v>
      </c>
      <c r="J8" s="2" t="s">
        <v>142</v>
      </c>
    </row>
    <row r="9" spans="1:10" ht="15" customHeight="1">
      <c r="A9" s="2" t="s">
        <v>143</v>
      </c>
      <c r="B9" s="5" t="s">
        <v>106</v>
      </c>
      <c r="C9" s="2" t="s">
        <v>81</v>
      </c>
      <c r="D9" s="2" t="s">
        <v>82</v>
      </c>
      <c r="E9" s="2" t="s">
        <v>104</v>
      </c>
      <c r="F9" s="2" t="s">
        <v>16</v>
      </c>
      <c r="G9" s="9">
        <v>1</v>
      </c>
      <c r="H9" s="2" t="s">
        <v>14</v>
      </c>
      <c r="I9" s="10" t="s">
        <v>131</v>
      </c>
      <c r="J9" s="2" t="s">
        <v>144</v>
      </c>
    </row>
    <row r="10" spans="1:10" ht="15" customHeight="1">
      <c r="A10" s="2" t="s">
        <v>145</v>
      </c>
      <c r="B10" s="5" t="s">
        <v>112</v>
      </c>
      <c r="C10" s="2" t="s">
        <v>73</v>
      </c>
      <c r="D10" s="2" t="s">
        <v>74</v>
      </c>
      <c r="E10" s="2" t="s">
        <v>100</v>
      </c>
      <c r="F10" s="2" t="s">
        <v>5</v>
      </c>
      <c r="G10" s="9">
        <v>610</v>
      </c>
      <c r="H10" s="2" t="s">
        <v>7</v>
      </c>
      <c r="I10" s="10" t="s">
        <v>131</v>
      </c>
      <c r="J10" s="2" t="s">
        <v>146</v>
      </c>
    </row>
    <row r="11" spans="1:10" ht="15" customHeight="1">
      <c r="A11" s="2" t="s">
        <v>147</v>
      </c>
      <c r="B11" s="5" t="s">
        <v>112</v>
      </c>
      <c r="C11" s="2" t="s">
        <v>76</v>
      </c>
      <c r="D11" s="2" t="s">
        <v>77</v>
      </c>
      <c r="E11" s="2" t="s">
        <v>100</v>
      </c>
      <c r="F11" s="2" t="s">
        <v>5</v>
      </c>
      <c r="G11" s="9">
        <v>610</v>
      </c>
      <c r="H11" s="2" t="s">
        <v>7</v>
      </c>
      <c r="I11" s="10" t="s">
        <v>131</v>
      </c>
      <c r="J11" s="2" t="s">
        <v>146</v>
      </c>
    </row>
    <row r="12" spans="1:10" ht="15" customHeight="1">
      <c r="A12" s="2" t="s">
        <v>148</v>
      </c>
      <c r="B12" s="5" t="s">
        <v>112</v>
      </c>
      <c r="C12" s="2" t="s">
        <v>81</v>
      </c>
      <c r="D12" s="2" t="s">
        <v>82</v>
      </c>
      <c r="E12" s="2" t="s">
        <v>104</v>
      </c>
      <c r="F12" s="2" t="s">
        <v>10</v>
      </c>
      <c r="G12" s="9">
        <v>420</v>
      </c>
      <c r="H12" s="2" t="s">
        <v>7</v>
      </c>
      <c r="I12" s="10" t="s">
        <v>131</v>
      </c>
      <c r="J12" s="2" t="s">
        <v>149</v>
      </c>
    </row>
    <row r="13" spans="1:10" ht="15" customHeight="1">
      <c r="A13" s="2" t="s">
        <v>150</v>
      </c>
      <c r="B13" s="5" t="s">
        <v>112</v>
      </c>
      <c r="C13" s="2" t="s">
        <v>81</v>
      </c>
      <c r="D13" s="2" t="s">
        <v>82</v>
      </c>
      <c r="E13" s="2" t="s">
        <v>104</v>
      </c>
      <c r="F13" s="2" t="s">
        <v>12</v>
      </c>
      <c r="G13" s="9">
        <v>3</v>
      </c>
      <c r="H13" s="2" t="s">
        <v>14</v>
      </c>
      <c r="I13" s="10" t="s">
        <v>131</v>
      </c>
      <c r="J13" s="2" t="s">
        <v>151</v>
      </c>
    </row>
    <row r="14" spans="1:10" ht="15" customHeight="1">
      <c r="A14" s="2" t="s">
        <v>152</v>
      </c>
      <c r="B14" s="5" t="s">
        <v>118</v>
      </c>
      <c r="C14" s="2" t="s">
        <v>73</v>
      </c>
      <c r="D14" s="2" t="s">
        <v>74</v>
      </c>
      <c r="E14" s="2" t="s">
        <v>100</v>
      </c>
      <c r="F14" s="2" t="s">
        <v>5</v>
      </c>
      <c r="G14" s="9">
        <v>480</v>
      </c>
      <c r="H14" s="2" t="s">
        <v>7</v>
      </c>
      <c r="I14" s="10" t="s">
        <v>131</v>
      </c>
      <c r="J14" s="2" t="s">
        <v>153</v>
      </c>
    </row>
    <row r="15" spans="1:10" ht="15" customHeight="1">
      <c r="A15" s="2" t="s">
        <v>154</v>
      </c>
      <c r="B15" s="5" t="s">
        <v>118</v>
      </c>
      <c r="C15" s="2" t="s">
        <v>76</v>
      </c>
      <c r="D15" s="2" t="s">
        <v>77</v>
      </c>
      <c r="E15" s="2" t="s">
        <v>100</v>
      </c>
      <c r="F15" s="2" t="s">
        <v>5</v>
      </c>
      <c r="G15" s="9">
        <v>480</v>
      </c>
      <c r="H15" s="2" t="s">
        <v>7</v>
      </c>
      <c r="I15" s="10" t="s">
        <v>131</v>
      </c>
      <c r="J15" s="2" t="s">
        <v>153</v>
      </c>
    </row>
    <row r="16" spans="1:10" ht="15" customHeight="1">
      <c r="A16" s="2" t="s">
        <v>155</v>
      </c>
      <c r="B16" s="5" t="s">
        <v>118</v>
      </c>
      <c r="C16" s="2" t="s">
        <v>81</v>
      </c>
      <c r="D16" s="2" t="s">
        <v>82</v>
      </c>
      <c r="E16" s="2" t="s">
        <v>104</v>
      </c>
      <c r="F16" s="2" t="s">
        <v>10</v>
      </c>
      <c r="G16" s="9">
        <v>350</v>
      </c>
      <c r="H16" s="2" t="s">
        <v>7</v>
      </c>
      <c r="I16" s="10" t="s">
        <v>131</v>
      </c>
      <c r="J16" s="2" t="s">
        <v>156</v>
      </c>
    </row>
    <row r="17" spans="1:10" ht="15" customHeight="1">
      <c r="A17" s="2" t="s">
        <v>157</v>
      </c>
      <c r="B17" s="5" t="s">
        <v>118</v>
      </c>
      <c r="C17" s="2" t="s">
        <v>81</v>
      </c>
      <c r="D17" s="2" t="s">
        <v>82</v>
      </c>
      <c r="E17" s="2" t="s">
        <v>104</v>
      </c>
      <c r="F17" s="2" t="s">
        <v>21</v>
      </c>
      <c r="G17" s="9">
        <v>120</v>
      </c>
      <c r="H17" s="2" t="s">
        <v>23</v>
      </c>
      <c r="I17" s="10" t="s">
        <v>131</v>
      </c>
      <c r="J17" s="2" t="s">
        <v>158</v>
      </c>
    </row>
    <row r="18" spans="1:10" ht="15" customHeight="1">
      <c r="A18" s="2" t="s">
        <v>159</v>
      </c>
      <c r="B18" s="5" t="s">
        <v>122</v>
      </c>
      <c r="C18" s="2" t="s">
        <v>73</v>
      </c>
      <c r="D18" s="2" t="s">
        <v>74</v>
      </c>
      <c r="E18" s="2" t="s">
        <v>100</v>
      </c>
      <c r="F18" s="2" t="s">
        <v>5</v>
      </c>
      <c r="G18" s="9">
        <v>550</v>
      </c>
      <c r="H18" s="2" t="s">
        <v>7</v>
      </c>
      <c r="I18" s="10" t="s">
        <v>131</v>
      </c>
      <c r="J18" s="2" t="s">
        <v>160</v>
      </c>
    </row>
    <row r="19" spans="1:10" ht="15" customHeight="1">
      <c r="A19" s="2" t="s">
        <v>161</v>
      </c>
      <c r="B19" s="5" t="s">
        <v>122</v>
      </c>
      <c r="C19" s="2" t="s">
        <v>76</v>
      </c>
      <c r="D19" s="2" t="s">
        <v>77</v>
      </c>
      <c r="E19" s="2" t="s">
        <v>100</v>
      </c>
      <c r="F19" s="2" t="s">
        <v>5</v>
      </c>
      <c r="G19" s="9">
        <v>550</v>
      </c>
      <c r="H19" s="2" t="s">
        <v>7</v>
      </c>
      <c r="I19" s="10" t="s">
        <v>131</v>
      </c>
      <c r="J19" s="2" t="s">
        <v>160</v>
      </c>
    </row>
    <row r="20" spans="1:10" ht="15" customHeight="1">
      <c r="A20" s="2" t="s">
        <v>162</v>
      </c>
      <c r="B20" s="5" t="s">
        <v>122</v>
      </c>
      <c r="C20" s="2" t="s">
        <v>81</v>
      </c>
      <c r="D20" s="2" t="s">
        <v>82</v>
      </c>
      <c r="E20" s="2" t="s">
        <v>104</v>
      </c>
      <c r="F20" s="2" t="s">
        <v>10</v>
      </c>
      <c r="G20" s="9">
        <v>400</v>
      </c>
      <c r="H20" s="2" t="s">
        <v>7</v>
      </c>
      <c r="I20" s="10" t="s">
        <v>131</v>
      </c>
      <c r="J20" s="2" t="s">
        <v>163</v>
      </c>
    </row>
    <row r="21" spans="1:10" ht="15" customHeight="1">
      <c r="A21" s="2" t="s">
        <v>164</v>
      </c>
      <c r="B21" s="5" t="s">
        <v>122</v>
      </c>
      <c r="C21" s="2" t="s">
        <v>81</v>
      </c>
      <c r="D21" s="2" t="s">
        <v>82</v>
      </c>
      <c r="E21" s="2" t="s">
        <v>104</v>
      </c>
      <c r="F21" s="2" t="s">
        <v>27</v>
      </c>
      <c r="G21" s="9">
        <v>800</v>
      </c>
      <c r="H21" s="2" t="s">
        <v>7</v>
      </c>
      <c r="I21" s="10" t="s">
        <v>131</v>
      </c>
      <c r="J21" s="2" t="s">
        <v>165</v>
      </c>
    </row>
    <row r="22" spans="1:10" ht="15" customHeight="1">
      <c r="A22" s="2" t="s">
        <v>166</v>
      </c>
      <c r="B22" s="5" t="s">
        <v>97</v>
      </c>
      <c r="C22" s="2" t="s">
        <v>73</v>
      </c>
      <c r="D22" s="2" t="s">
        <v>74</v>
      </c>
      <c r="E22" s="2" t="s">
        <v>100</v>
      </c>
      <c r="F22" s="2" t="s">
        <v>18</v>
      </c>
      <c r="G22" s="9">
        <v>4</v>
      </c>
      <c r="H22" s="2" t="s">
        <v>14</v>
      </c>
      <c r="I22" s="10" t="s">
        <v>131</v>
      </c>
      <c r="J22" s="2" t="s">
        <v>20</v>
      </c>
    </row>
    <row r="23" spans="1:10" ht="15" customHeight="1">
      <c r="A23" s="2" t="s">
        <v>167</v>
      </c>
      <c r="B23" s="5" t="s">
        <v>106</v>
      </c>
      <c r="C23" s="2" t="s">
        <v>76</v>
      </c>
      <c r="D23" s="2" t="s">
        <v>77</v>
      </c>
      <c r="E23" s="2" t="s">
        <v>100</v>
      </c>
      <c r="F23" s="2" t="s">
        <v>29</v>
      </c>
      <c r="G23" s="9">
        <v>200</v>
      </c>
      <c r="H23" s="2" t="s">
        <v>7</v>
      </c>
      <c r="I23" s="10" t="s">
        <v>131</v>
      </c>
      <c r="J23" s="2" t="s">
        <v>168</v>
      </c>
    </row>
    <row r="24" spans="1:10" ht="15" customHeight="1">
      <c r="A24" s="2" t="s">
        <v>169</v>
      </c>
      <c r="B24" s="5" t="s">
        <v>112</v>
      </c>
      <c r="C24" s="2" t="s">
        <v>73</v>
      </c>
      <c r="D24" s="2" t="s">
        <v>74</v>
      </c>
      <c r="E24" s="2" t="s">
        <v>100</v>
      </c>
      <c r="F24" s="2" t="s">
        <v>25</v>
      </c>
      <c r="G24" s="9">
        <v>150</v>
      </c>
      <c r="H24" s="2" t="s">
        <v>7</v>
      </c>
      <c r="I24" s="10" t="s">
        <v>131</v>
      </c>
      <c r="J24" s="2" t="s">
        <v>59</v>
      </c>
    </row>
    <row r="25" spans="1:10" ht="15" customHeight="1">
      <c r="A25" s="2" t="s">
        <v>170</v>
      </c>
      <c r="B25" s="5" t="s">
        <v>118</v>
      </c>
      <c r="C25" s="2" t="s">
        <v>76</v>
      </c>
      <c r="D25" s="2" t="s">
        <v>77</v>
      </c>
      <c r="E25" s="2" t="s">
        <v>100</v>
      </c>
      <c r="F25" s="2" t="s">
        <v>12</v>
      </c>
      <c r="G25" s="9">
        <v>1</v>
      </c>
      <c r="H25" s="2" t="s">
        <v>14</v>
      </c>
      <c r="I25" s="10" t="s">
        <v>131</v>
      </c>
      <c r="J25" s="2" t="s">
        <v>171</v>
      </c>
    </row>
    <row r="26" spans="1:10" ht="15" customHeight="1">
      <c r="A26" s="2" t="s">
        <v>172</v>
      </c>
      <c r="B26" s="5" t="s">
        <v>122</v>
      </c>
      <c r="C26" s="2" t="s">
        <v>81</v>
      </c>
      <c r="D26" s="2" t="s">
        <v>82</v>
      </c>
      <c r="E26" s="2" t="s">
        <v>104</v>
      </c>
      <c r="F26" s="2" t="s">
        <v>16</v>
      </c>
      <c r="G26" s="9">
        <v>1</v>
      </c>
      <c r="H26" s="2" t="s">
        <v>14</v>
      </c>
      <c r="I26" s="10" t="s">
        <v>131</v>
      </c>
      <c r="J26" s="2" t="s">
        <v>173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113CF-C578-7B48-6E68-2B4F01E52658}">
  <dimension ref="A1:L12"/>
  <sheetViews>
    <sheetView topLeftCell="H1" workbookViewId="0">
      <selection activeCell="K4" sqref="K4"/>
    </sheetView>
  </sheetViews>
  <sheetFormatPr defaultColWidth="8.85546875" defaultRowHeight="15" customHeight="1"/>
  <cols>
    <col min="1" max="1" width="10.28515625" customWidth="1"/>
    <col min="2" max="2" width="13.28515625" customWidth="1"/>
    <col min="3" max="3" width="6.85546875" customWidth="1"/>
    <col min="4" max="4" width="11.140625" customWidth="1"/>
    <col min="5" max="5" width="13.85546875" customWidth="1"/>
    <col min="6" max="6" width="9.5703125" customWidth="1"/>
    <col min="7" max="7" width="13.85546875" customWidth="1"/>
    <col min="8" max="8" width="15.5703125" customWidth="1"/>
    <col min="9" max="9" width="12.42578125" customWidth="1"/>
    <col min="10" max="10" width="14.28515625" customWidth="1"/>
    <col min="11" max="11" width="9" customWidth="1"/>
    <col min="12" max="12" width="15.85546875" customWidth="1"/>
  </cols>
  <sheetData>
    <row r="1" spans="1:12" ht="15" customHeight="1">
      <c r="A1" s="11" t="s">
        <v>66</v>
      </c>
      <c r="B1" s="11" t="s">
        <v>89</v>
      </c>
      <c r="C1" s="11" t="s">
        <v>174</v>
      </c>
      <c r="D1" s="11" t="s">
        <v>93</v>
      </c>
      <c r="E1" s="11" t="s">
        <v>175</v>
      </c>
      <c r="F1" s="11" t="s">
        <v>176</v>
      </c>
      <c r="G1" s="11" t="s">
        <v>177</v>
      </c>
      <c r="H1" s="11" t="s">
        <v>178</v>
      </c>
      <c r="I1" s="11" t="s">
        <v>179</v>
      </c>
      <c r="J1" s="11" t="s">
        <v>180</v>
      </c>
      <c r="K1" s="11" t="s">
        <v>181</v>
      </c>
      <c r="L1" s="11" t="s">
        <v>182</v>
      </c>
    </row>
    <row r="2" spans="1:12" ht="18.75" customHeight="1">
      <c r="A2" s="45" t="s">
        <v>183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" customHeight="1">
      <c r="A4" s="2" t="s">
        <v>73</v>
      </c>
      <c r="B4" s="2" t="s">
        <v>74</v>
      </c>
      <c r="C4" s="2" t="s">
        <v>184</v>
      </c>
      <c r="D4" s="6">
        <f>SUMIFS(Time_Entry!H:H,Time_Entry!C:C,A4)</f>
        <v>48</v>
      </c>
      <c r="E4" s="6">
        <f t="shared" ref="E4:E9" si="0">MIN(D4,40)</f>
        <v>40</v>
      </c>
      <c r="F4" s="6">
        <f t="shared" ref="F4:F9" si="1">MAX(D4-40,0)</f>
        <v>8</v>
      </c>
      <c r="G4" s="4" t="e">
        <f>SUMPRODUCT((Production_Entry!$C$2:$C$26=A4)*(Production_Entry!$G$2:$G$26),VLOOKUP(Production_Entry!$F$2:$F$26,Rate_Table!$B$2:$C$11,2,0))</f>
        <v>#VALUE!</v>
      </c>
      <c r="H4" s="4">
        <f>E4*VLOOKUP(A4,Workers!$A$2:$D$7,4,FALSE)</f>
        <v>720</v>
      </c>
      <c r="I4" s="4">
        <f>F4*VLOOKUP(A4,Workers!$A$2:$D$7,4,FALSE)*(VLOOKUP(A4,Workers!$A$2:$E$7,5,FALSE)-1)</f>
        <v>72</v>
      </c>
      <c r="J4" s="4">
        <f>D4*VLOOKUP(A4,Workers!$A$2:$D$7,4,FALSE)</f>
        <v>864</v>
      </c>
      <c r="K4" s="12" t="e">
        <f t="shared" ref="K4:K9" si="2">MAX(G4,J4)+I4</f>
        <v>#VALUE!</v>
      </c>
      <c r="L4" s="2" t="s">
        <v>185</v>
      </c>
    </row>
    <row r="5" spans="1:12" ht="15" customHeight="1">
      <c r="A5" s="2" t="s">
        <v>76</v>
      </c>
      <c r="B5" s="2" t="s">
        <v>77</v>
      </c>
      <c r="C5" s="2" t="s">
        <v>184</v>
      </c>
      <c r="D5" s="6">
        <f>SUMIFS(Time_Entry!H:H,Time_Entry!C:C,A5)</f>
        <v>48</v>
      </c>
      <c r="E5" s="6">
        <f t="shared" si="0"/>
        <v>40</v>
      </c>
      <c r="F5" s="6">
        <f t="shared" si="1"/>
        <v>8</v>
      </c>
      <c r="G5" s="4" t="e">
        <f>SUMPRODUCT((Production_Entry!$C$2:$C$26=A5)*(Production_Entry!$G$2:$G$26),VLOOKUP(Production_Entry!$F$2:$F$26,Rate_Table!$B$2:$C$11,2,0))</f>
        <v>#VALUE!</v>
      </c>
      <c r="H5" s="4">
        <f>E5*VLOOKUP(A5,Workers!$A$2:$D$7,4,FALSE)</f>
        <v>800</v>
      </c>
      <c r="I5" s="4">
        <f>F5*VLOOKUP(A5,Workers!$A$2:$D$7,4,FALSE)*(VLOOKUP(A5,Workers!$A$2:$E$7,5,FALSE)-1)</f>
        <v>80</v>
      </c>
      <c r="J5" s="4">
        <f>D5*VLOOKUP(A5,Workers!$A$2:$D$7,4,FALSE)</f>
        <v>960</v>
      </c>
      <c r="K5" s="12" t="e">
        <f t="shared" si="2"/>
        <v>#VALUE!</v>
      </c>
      <c r="L5" s="2" t="s">
        <v>185</v>
      </c>
    </row>
    <row r="6" spans="1:12" ht="15" customHeight="1">
      <c r="A6" s="2" t="s">
        <v>78</v>
      </c>
      <c r="B6" s="2" t="s">
        <v>79</v>
      </c>
      <c r="C6" s="2" t="s">
        <v>184</v>
      </c>
      <c r="D6" s="6">
        <f>SUMIFS(Time_Entry!H:H,Time_Entry!C:C,A6)</f>
        <v>0</v>
      </c>
      <c r="E6" s="6">
        <f t="shared" si="0"/>
        <v>0</v>
      </c>
      <c r="F6" s="6">
        <f t="shared" si="1"/>
        <v>0</v>
      </c>
      <c r="G6" s="4" t="e">
        <f>SUMPRODUCT((Production_Entry!$C$2:$C$26=A6)*(Production_Entry!$G$2:$G$26),VLOOKUP(Production_Entry!$F$2:$F$26,Rate_Table!$B$2:$C$11,2,0))</f>
        <v>#VALUE!</v>
      </c>
      <c r="H6" s="4">
        <f>E6*VLOOKUP(A6,Workers!$A$2:$D$7,4,FALSE)</f>
        <v>0</v>
      </c>
      <c r="I6" s="4">
        <f>F6*VLOOKUP(A6,Workers!$A$2:$D$7,4,FALSE)*(VLOOKUP(A6,Workers!$A$2:$E$7,5,FALSE)-1)</f>
        <v>0</v>
      </c>
      <c r="J6" s="4">
        <f>D6*VLOOKUP(A6,Workers!$A$2:$D$7,4,FALSE)</f>
        <v>0</v>
      </c>
      <c r="K6" s="12" t="e">
        <f t="shared" si="2"/>
        <v>#VALUE!</v>
      </c>
      <c r="L6" s="2" t="s">
        <v>185</v>
      </c>
    </row>
    <row r="7" spans="1:12" ht="15" customHeight="1">
      <c r="A7" s="2" t="s">
        <v>81</v>
      </c>
      <c r="B7" s="2" t="s">
        <v>82</v>
      </c>
      <c r="C7" s="2" t="s">
        <v>184</v>
      </c>
      <c r="D7" s="6">
        <f>SUMIFS(Time_Entry!H:H,Time_Entry!C:C,A7)</f>
        <v>46</v>
      </c>
      <c r="E7" s="6">
        <f t="shared" si="0"/>
        <v>40</v>
      </c>
      <c r="F7" s="6">
        <f t="shared" si="1"/>
        <v>6</v>
      </c>
      <c r="G7" s="4" t="e">
        <f>SUMPRODUCT((Production_Entry!$C$2:$C$26=A7)*(Production_Entry!$G$2:$G$26),VLOOKUP(Production_Entry!$F$2:$F$26,Rate_Table!$B$2:$C$11,2,0))</f>
        <v>#VALUE!</v>
      </c>
      <c r="H7" s="4">
        <f>E7*VLOOKUP(A7,Workers!$A$2:$D$7,4,FALSE)</f>
        <v>700</v>
      </c>
      <c r="I7" s="4">
        <f>F7*VLOOKUP(A7,Workers!$A$2:$D$7,4,FALSE)*(VLOOKUP(A7,Workers!$A$2:$E$7,5,FALSE)-1)</f>
        <v>52.5</v>
      </c>
      <c r="J7" s="4">
        <f>D7*VLOOKUP(A7,Workers!$A$2:$D$7,4,FALSE)</f>
        <v>805</v>
      </c>
      <c r="K7" s="12" t="e">
        <f t="shared" si="2"/>
        <v>#VALUE!</v>
      </c>
      <c r="L7" s="2" t="s">
        <v>185</v>
      </c>
    </row>
    <row r="8" spans="1:12" ht="15" customHeight="1">
      <c r="A8" s="2" t="s">
        <v>83</v>
      </c>
      <c r="B8" s="2" t="s">
        <v>84</v>
      </c>
      <c r="C8" s="2" t="s">
        <v>184</v>
      </c>
      <c r="D8" s="6">
        <f>SUMIFS(Time_Entry!H:H,Time_Entry!C:C,A8)</f>
        <v>0</v>
      </c>
      <c r="E8" s="6">
        <f t="shared" si="0"/>
        <v>0</v>
      </c>
      <c r="F8" s="6">
        <f t="shared" si="1"/>
        <v>0</v>
      </c>
      <c r="G8" s="4" t="e">
        <f>SUMPRODUCT((Production_Entry!$C$2:$C$26=A8)*(Production_Entry!$G$2:$G$26),VLOOKUP(Production_Entry!$F$2:$F$26,Rate_Table!$B$2:$C$11,2,0))</f>
        <v>#VALUE!</v>
      </c>
      <c r="H8" s="4">
        <f>E8*VLOOKUP(A8,Workers!$A$2:$D$7,4,FALSE)</f>
        <v>0</v>
      </c>
      <c r="I8" s="4">
        <f>F8*VLOOKUP(A8,Workers!$A$2:$D$7,4,FALSE)*(VLOOKUP(A8,Workers!$A$2:$E$7,5,FALSE)-1)</f>
        <v>0</v>
      </c>
      <c r="J8" s="4">
        <f>D8*VLOOKUP(A8,Workers!$A$2:$D$7,4,FALSE)</f>
        <v>0</v>
      </c>
      <c r="K8" s="12" t="e">
        <f t="shared" si="2"/>
        <v>#VALUE!</v>
      </c>
      <c r="L8" s="2" t="s">
        <v>185</v>
      </c>
    </row>
    <row r="9" spans="1:12" ht="15" customHeight="1">
      <c r="A9" s="2" t="s">
        <v>85</v>
      </c>
      <c r="B9" s="2" t="s">
        <v>86</v>
      </c>
      <c r="C9" s="2" t="s">
        <v>184</v>
      </c>
      <c r="D9" s="6">
        <f>SUMIFS(Time_Entry!H:H,Time_Entry!C:C,A9)</f>
        <v>0</v>
      </c>
      <c r="E9" s="6">
        <f t="shared" si="0"/>
        <v>0</v>
      </c>
      <c r="F9" s="6">
        <f t="shared" si="1"/>
        <v>0</v>
      </c>
      <c r="G9" s="4" t="e">
        <f>SUMPRODUCT((Production_Entry!$C$2:$C$26=A9)*(Production_Entry!$G$2:$G$26),VLOOKUP(Production_Entry!$F$2:$F$26,Rate_Table!$B$2:$C$11,2,0))</f>
        <v>#VALUE!</v>
      </c>
      <c r="H9" s="4">
        <f>E9*VLOOKUP(A9,Workers!$A$2:$D$7,4,FALSE)</f>
        <v>0</v>
      </c>
      <c r="I9" s="4">
        <f>F9*VLOOKUP(A9,Workers!$A$2:$D$7,4,FALSE)*(VLOOKUP(A9,Workers!$A$2:$E$7,5,FALSE)-1)</f>
        <v>0</v>
      </c>
      <c r="J9" s="4">
        <f>D9*VLOOKUP(A9,Workers!$A$2:$D$7,4,FALSE)</f>
        <v>0</v>
      </c>
      <c r="K9" s="12" t="e">
        <f t="shared" si="2"/>
        <v>#VALUE!</v>
      </c>
      <c r="L9" s="2" t="s">
        <v>185</v>
      </c>
    </row>
    <row r="10" spans="1:12" ht="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" customHeight="1">
      <c r="A11" s="13" t="s">
        <v>186</v>
      </c>
      <c r="B11" s="14"/>
      <c r="C11" s="14"/>
      <c r="D11" s="15">
        <f t="shared" ref="D11:K11" si="3">SUM(D4:D9)</f>
        <v>142</v>
      </c>
      <c r="E11" s="15">
        <f t="shared" si="3"/>
        <v>120</v>
      </c>
      <c r="F11" s="15">
        <f t="shared" si="3"/>
        <v>22</v>
      </c>
      <c r="G11" s="16" t="e">
        <f t="shared" si="3"/>
        <v>#VALUE!</v>
      </c>
      <c r="H11" s="16">
        <f t="shared" si="3"/>
        <v>2220</v>
      </c>
      <c r="I11" s="16">
        <f t="shared" si="3"/>
        <v>204.5</v>
      </c>
      <c r="J11" s="16">
        <f t="shared" si="3"/>
        <v>2629</v>
      </c>
      <c r="K11" s="16" t="e">
        <f t="shared" si="3"/>
        <v>#VALUE!</v>
      </c>
      <c r="L11" s="13"/>
    </row>
    <row r="12" spans="1:12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</sheetData>
  <mergeCells count="1">
    <mergeCell ref="A2:L2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82E4-BDD3-1A8C-A8D8-82C91D5B8D64}">
  <dimension ref="A1:E27"/>
  <sheetViews>
    <sheetView topLeftCell="B1" workbookViewId="0">
      <selection activeCell="B4" sqref="B4"/>
    </sheetView>
  </sheetViews>
  <sheetFormatPr defaultColWidth="8.85546875" defaultRowHeight="15" customHeight="1"/>
  <cols>
    <col min="1" max="1" width="63.140625" customWidth="1"/>
    <col min="2" max="2" width="13.5703125" customWidth="1"/>
    <col min="3" max="3" width="6.140625" customWidth="1"/>
    <col min="4" max="4" width="13.85546875" customWidth="1"/>
    <col min="5" max="5" width="11.85546875" customWidth="1"/>
  </cols>
  <sheetData>
    <row r="1" spans="1:5" ht="21" customHeight="1">
      <c r="A1" s="17" t="s">
        <v>187</v>
      </c>
    </row>
    <row r="2" spans="1:5" ht="15.75" customHeight="1">
      <c r="A2" s="18" t="s">
        <v>188</v>
      </c>
    </row>
    <row r="4" spans="1:5" ht="15" customHeight="1">
      <c r="A4" s="19" t="s">
        <v>189</v>
      </c>
      <c r="B4" s="20" t="e">
        <f>Payroll_Calculation!K11</f>
        <v>#VALUE!</v>
      </c>
    </row>
    <row r="5" spans="1:5" ht="15" customHeight="1">
      <c r="A5" s="21" t="s">
        <v>190</v>
      </c>
      <c r="B5" s="22">
        <f>Payroll_Calculation!D11</f>
        <v>142</v>
      </c>
    </row>
    <row r="6" spans="1:5" ht="15" customHeight="1">
      <c r="A6" s="21" t="s">
        <v>191</v>
      </c>
      <c r="B6" s="23" t="e">
        <f>Payroll_Calculation!G11</f>
        <v>#VALUE!</v>
      </c>
    </row>
    <row r="7" spans="1:5" ht="15" customHeight="1">
      <c r="A7" s="24" t="s">
        <v>192</v>
      </c>
      <c r="B7" s="25" t="e">
        <f>B4/B5</f>
        <v>#VALUE!</v>
      </c>
    </row>
    <row r="9" spans="1:5" ht="18.75" customHeight="1">
      <c r="A9" s="26" t="s">
        <v>193</v>
      </c>
      <c r="B9" s="27"/>
      <c r="C9" s="27"/>
      <c r="D9" s="27"/>
      <c r="E9" s="28"/>
    </row>
    <row r="10" spans="1:5" ht="15" customHeight="1">
      <c r="A10" s="29" t="s">
        <v>89</v>
      </c>
      <c r="B10" s="1" t="s">
        <v>181</v>
      </c>
      <c r="C10" s="1" t="s">
        <v>194</v>
      </c>
      <c r="D10" s="1" t="s">
        <v>177</v>
      </c>
      <c r="E10" s="30" t="s">
        <v>195</v>
      </c>
    </row>
    <row r="11" spans="1:5" ht="15" customHeight="1">
      <c r="A11" s="31" t="e">
        <f>INDEX(Payroll_Calculation!B:B,MATCH(LARGE(Payroll_Calculation!K:K,1),Payroll_Calculation!K:K,0))</f>
        <v>#VALUE!</v>
      </c>
      <c r="B11" s="32" t="e">
        <f>LARGE(Payroll_Calculation!K:K,1)</f>
        <v>#VALUE!</v>
      </c>
      <c r="C11" s="33" t="e">
        <f>INDEX(Payroll_Calculation!D:D,MATCH(LARGE(Payroll_Calculation!K:K,1),Payroll_Calculation!K:K,0))</f>
        <v>#VALUE!</v>
      </c>
      <c r="D11" s="32" t="e">
        <f>INDEX(Payroll_Calculation!G:G,MATCH(LARGE(Payroll_Calculation!K:K,1),Payroll_Calculation!K:K,0))</f>
        <v>#VALUE!</v>
      </c>
      <c r="E11" s="34" t="e">
        <f t="shared" ref="E11:E13" si="0">B11/C11</f>
        <v>#VALUE!</v>
      </c>
    </row>
    <row r="12" spans="1:5" ht="15" customHeight="1">
      <c r="A12" s="35" t="e">
        <f>INDEX(Payroll_Calculation!B:B,MATCH(LARGE(Payroll_Calculation!K:K,2),Payroll_Calculation!K:K,0))</f>
        <v>#VALUE!</v>
      </c>
      <c r="B12" s="4" t="e">
        <f>LARGE(Payroll_Calculation!K:K,2)</f>
        <v>#VALUE!</v>
      </c>
      <c r="C12" s="6" t="e">
        <f>INDEX(Payroll_Calculation!D:D,MATCH(LARGE(Payroll_Calculation!K:K,2),Payroll_Calculation!K:K,0))</f>
        <v>#VALUE!</v>
      </c>
      <c r="D12" s="4" t="e">
        <f>INDEX(Payroll_Calculation!G:G,MATCH(LARGE(Payroll_Calculation!K:K,2),Payroll_Calculation!K:K,0))</f>
        <v>#VALUE!</v>
      </c>
      <c r="E12" s="36" t="e">
        <f t="shared" si="0"/>
        <v>#VALUE!</v>
      </c>
    </row>
    <row r="13" spans="1:5" ht="15" customHeight="1">
      <c r="A13" s="37" t="e">
        <f>INDEX(Payroll_Calculation!B:B,MATCH(LARGE(Payroll_Calculation!K:K,3),Payroll_Calculation!K:K,0))</f>
        <v>#VALUE!</v>
      </c>
      <c r="B13" s="38" t="e">
        <f>LARGE(Payroll_Calculation!K:K,3)</f>
        <v>#VALUE!</v>
      </c>
      <c r="C13" s="39" t="e">
        <f>INDEX(Payroll_Calculation!D:D,MATCH(LARGE(Payroll_Calculation!K:K,3),Payroll_Calculation!K:K,0))</f>
        <v>#VALUE!</v>
      </c>
      <c r="D13" s="38" t="e">
        <f>INDEX(Payroll_Calculation!G:G,MATCH(LARGE(Payroll_Calculation!K:K,3),Payroll_Calculation!K:K,0))</f>
        <v>#VALUE!</v>
      </c>
      <c r="E13" s="40" t="e">
        <f t="shared" si="0"/>
        <v>#VALUE!</v>
      </c>
    </row>
    <row r="14" spans="1:5" ht="15" customHeight="1">
      <c r="A14" s="2"/>
      <c r="B14" s="2"/>
      <c r="C14" s="2"/>
      <c r="D14" s="2"/>
      <c r="E14" s="2"/>
    </row>
    <row r="15" spans="1:5" ht="18.75" customHeight="1">
      <c r="A15" s="26" t="s">
        <v>196</v>
      </c>
      <c r="B15" s="27"/>
      <c r="C15" s="27"/>
      <c r="D15" s="28"/>
    </row>
    <row r="16" spans="1:5" ht="15" customHeight="1">
      <c r="A16" s="29" t="s">
        <v>197</v>
      </c>
      <c r="B16" s="1" t="s">
        <v>198</v>
      </c>
      <c r="C16" s="1" t="s">
        <v>2</v>
      </c>
      <c r="D16" s="30" t="s">
        <v>199</v>
      </c>
    </row>
    <row r="17" spans="1:4" ht="15" customHeight="1">
      <c r="A17" s="35" t="s">
        <v>5</v>
      </c>
      <c r="B17" s="9">
        <f>SUMIF(Production_Entry!F:F,A17,Production_Entry!G:G)</f>
        <v>5220</v>
      </c>
      <c r="C17" s="2" t="str">
        <f>INDEX(Pay_Item_Catalog!C:C,MATCH(A17,Pay_Item_Catalog!A:A,0))</f>
        <v>FT</v>
      </c>
      <c r="D17" s="36">
        <f>B17*VLOOKUP(A17,Rate_Table!B:C,2,FALSE)</f>
        <v>4437</v>
      </c>
    </row>
    <row r="18" spans="1:4" ht="15" customHeight="1">
      <c r="A18" s="35" t="s">
        <v>10</v>
      </c>
      <c r="B18" s="9">
        <f>SUMIF(Production_Entry!F:F,A18,Production_Entry!G:G)</f>
        <v>1870</v>
      </c>
      <c r="C18" s="2" t="str">
        <f>INDEX(Pay_Item_Catalog!C:C,MATCH(A18,Pay_Item_Catalog!A:A,0))</f>
        <v>FT</v>
      </c>
      <c r="D18" s="36">
        <f>B18*VLOOKUP(A18,Rate_Table!B:C,2,FALSE)</f>
        <v>1215.5</v>
      </c>
    </row>
    <row r="19" spans="1:4" ht="15" customHeight="1">
      <c r="A19" s="35" t="s">
        <v>12</v>
      </c>
      <c r="B19" s="9">
        <f>SUMIF(Production_Entry!F:F,A19,Production_Entry!G:G)</f>
        <v>6</v>
      </c>
      <c r="C19" s="2" t="str">
        <f>INDEX(Pay_Item_Catalog!C:C,MATCH(A19,Pay_Item_Catalog!A:A,0))</f>
        <v>EA</v>
      </c>
      <c r="D19" s="36">
        <f>B19*VLOOKUP(A19,Rate_Table!B:C,2,FALSE)</f>
        <v>270</v>
      </c>
    </row>
    <row r="20" spans="1:4" ht="15" customHeight="1">
      <c r="A20" s="35" t="s">
        <v>16</v>
      </c>
      <c r="B20" s="9">
        <f>SUMIF(Production_Entry!F:F,A20,Production_Entry!G:G)</f>
        <v>2</v>
      </c>
      <c r="C20" s="2" t="str">
        <f>INDEX(Pay_Item_Catalog!C:C,MATCH(A20,Pay_Item_Catalog!A:A,0))</f>
        <v>EA</v>
      </c>
      <c r="D20" s="36">
        <f>B20*VLOOKUP(A20,Rate_Table!B:C,2,FALSE)</f>
        <v>170</v>
      </c>
    </row>
    <row r="21" spans="1:4" ht="15" customHeight="1">
      <c r="A21" s="35" t="s">
        <v>18</v>
      </c>
      <c r="B21" s="9">
        <f>SUMIF(Production_Entry!F:F,A21,Production_Entry!G:G)</f>
        <v>4</v>
      </c>
      <c r="C21" s="2" t="str">
        <f>INDEX(Pay_Item_Catalog!C:C,MATCH(A21,Pay_Item_Catalog!A:A,0))</f>
        <v>EA</v>
      </c>
      <c r="D21" s="36">
        <f>B21*VLOOKUP(A21,Rate_Table!B:C,2,FALSE)</f>
        <v>140</v>
      </c>
    </row>
    <row r="22" spans="1:4" ht="15" customHeight="1">
      <c r="A22" s="35" t="s">
        <v>21</v>
      </c>
      <c r="B22" s="9">
        <f>SUMIF(Production_Entry!F:F,A22,Production_Entry!G:G)</f>
        <v>120</v>
      </c>
      <c r="C22" s="2" t="str">
        <f>INDEX(Pay_Item_Catalog!C:C,MATCH(A22,Pay_Item_Catalog!A:A,0))</f>
        <v>SQFT</v>
      </c>
      <c r="D22" s="36">
        <f>B22*VLOOKUP(A22,Rate_Table!B:C,2,FALSE)</f>
        <v>300</v>
      </c>
    </row>
    <row r="23" spans="1:4" ht="15" customHeight="1">
      <c r="A23" s="35" t="s">
        <v>25</v>
      </c>
      <c r="B23" s="9">
        <f>SUMIF(Production_Entry!F:F,A23,Production_Entry!G:G)</f>
        <v>150</v>
      </c>
      <c r="C23" s="2" t="str">
        <f>INDEX(Pay_Item_Catalog!C:C,MATCH(A23,Pay_Item_Catalog!A:A,0))</f>
        <v>FT</v>
      </c>
      <c r="D23" s="36">
        <f>B23*VLOOKUP(A23,Rate_Table!B:C,2,FALSE)</f>
        <v>135</v>
      </c>
    </row>
    <row r="24" spans="1:4" ht="15" customHeight="1">
      <c r="A24" s="35" t="s">
        <v>27</v>
      </c>
      <c r="B24" s="9">
        <f>SUMIF(Production_Entry!F:F,A24,Production_Entry!G:G)</f>
        <v>800</v>
      </c>
      <c r="C24" s="2" t="str">
        <f>INDEX(Pay_Item_Catalog!C:C,MATCH(A24,Pay_Item_Catalog!A:A,0))</f>
        <v>FT</v>
      </c>
      <c r="D24" s="36">
        <f>B24*VLOOKUP(A24,Rate_Table!B:C,2,FALSE)</f>
        <v>320</v>
      </c>
    </row>
    <row r="25" spans="1:4" ht="15" customHeight="1">
      <c r="A25" s="35" t="s">
        <v>29</v>
      </c>
      <c r="B25" s="9">
        <f>SUMIF(Production_Entry!F:F,A25,Production_Entry!G:G)</f>
        <v>200</v>
      </c>
      <c r="C25" s="2" t="str">
        <f>INDEX(Pay_Item_Catalog!C:C,MATCH(A25,Pay_Item_Catalog!A:A,0))</f>
        <v>FT</v>
      </c>
      <c r="D25" s="36">
        <f>B25*VLOOKUP(A25,Rate_Table!B:C,2,FALSE)</f>
        <v>110.00000000000001</v>
      </c>
    </row>
    <row r="26" spans="1:4" ht="15" customHeight="1">
      <c r="A26" s="35" t="s">
        <v>31</v>
      </c>
      <c r="B26" s="9">
        <f>SUMIF(Production_Entry!F:F,A26,Production_Entry!G:G)</f>
        <v>0</v>
      </c>
      <c r="C26" s="2" t="str">
        <f>INDEX(Pay_Item_Catalog!C:C,MATCH(A26,Pay_Item_Catalog!A:A,0))</f>
        <v>FT</v>
      </c>
      <c r="D26" s="36">
        <f>B26*VLOOKUP(A26,Rate_Table!B:C,2,FALSE)</f>
        <v>0</v>
      </c>
    </row>
    <row r="27" spans="1:4" ht="15" customHeight="1">
      <c r="A27" s="41" t="s">
        <v>186</v>
      </c>
      <c r="B27" s="42">
        <f t="shared" ref="B27:D27" si="1">SUM(B17:B26)</f>
        <v>8372</v>
      </c>
      <c r="C27" s="43"/>
      <c r="D27" s="44">
        <f t="shared" si="1"/>
        <v>7097.5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Pay_Item_Catalog</vt:lpstr>
      <vt:lpstr>Rate_Table</vt:lpstr>
      <vt:lpstr>Workers</vt:lpstr>
      <vt:lpstr>Time_Entry</vt:lpstr>
      <vt:lpstr>Production_Entry</vt:lpstr>
      <vt:lpstr>Payroll_Calculation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GARABED A JUNIOR</cp:lastModifiedBy>
  <dcterms:created xsi:type="dcterms:W3CDTF">2026-02-05T05:51:10Z</dcterms:created>
  <dcterms:modified xsi:type="dcterms:W3CDTF">2026-02-25T21:47:48Z</dcterms:modified>
</cp:coreProperties>
</file>